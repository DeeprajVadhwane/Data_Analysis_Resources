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drawings/drawing3.xml" ContentType="application/vnd.openxmlformats-officedocument.drawing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Advanced_Excel_for_Data_Analysis\"/>
    </mc:Choice>
  </mc:AlternateContent>
  <bookViews>
    <workbookView xWindow="0" yWindow="0" windowWidth="19200" windowHeight="7190" tabRatio="872" firstSheet="1" activeTab="6"/>
  </bookViews>
  <sheets>
    <sheet name="Basics " sheetId="1" r:id="rId1"/>
    <sheet name="Find_Replace" sheetId="26" r:id="rId2"/>
    <sheet name="Text Functions" sheetId="3" r:id="rId3"/>
    <sheet name="Aggregate Functions" sheetId="31" r:id="rId4"/>
    <sheet name="Logical&amp;Comparitive Operators" sheetId="6" r:id="rId5"/>
    <sheet name="IF Functions" sheetId="32" r:id="rId6"/>
    <sheet name="Sumif,Averageif, Countif" sheetId="10" r:id="rId7"/>
    <sheet name="Datetime functions" sheetId="20" r:id="rId8"/>
    <sheet name="Shortcuts" sheetId="28" r:id="rId9"/>
    <sheet name="All Functions" sheetId="29" r:id="rId10"/>
  </sheets>
  <definedNames>
    <definedName name="Apple">'Basics '!#REF!</definedName>
    <definedName name="Nisha">#REF!</definedName>
    <definedName name="NK">'Basics '!$E$3</definedName>
    <definedName name="Slicer_Category">#REF!</definedName>
    <definedName name="Slicer_Category1">#REF!</definedName>
  </definedNames>
  <calcPr calcId="152511"/>
  <customWorkbookViews>
    <customWorkbookView name="new" guid="{06BAD8CE-1DBC-44C9-B316-806B0B5B5BBC}" maximized="1" xWindow="-8" yWindow="-8" windowWidth="1382" windowHeight="736" activeSheetId="18"/>
    <customWorkbookView name="new_2" guid="{586EE853-6E53-4973-9818-E4AB447301FE}" maximized="1" xWindow="-8" yWindow="-8" windowWidth="1382" windowHeight="736" activeSheetId="1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2" l="1"/>
  <c r="J4" i="32"/>
  <c r="J5" i="32"/>
  <c r="J6" i="32"/>
  <c r="J7" i="32"/>
  <c r="J8" i="32"/>
  <c r="J9" i="32"/>
  <c r="J10" i="32"/>
  <c r="J11" i="32"/>
  <c r="J2" i="32"/>
  <c r="I2" i="32"/>
  <c r="I3" i="32"/>
  <c r="I4" i="32"/>
  <c r="I5" i="32"/>
  <c r="I6" i="32"/>
  <c r="I7" i="32"/>
  <c r="I8" i="32"/>
  <c r="I9" i="32"/>
  <c r="I10" i="32"/>
  <c r="I11" i="32"/>
  <c r="H3" i="32"/>
  <c r="H4" i="32"/>
  <c r="H5" i="32"/>
  <c r="H6" i="32"/>
  <c r="H7" i="32"/>
  <c r="H8" i="32"/>
  <c r="H9" i="32"/>
  <c r="H10" i="32"/>
  <c r="H11" i="32"/>
  <c r="H2" i="32"/>
  <c r="G2" i="32"/>
  <c r="G3" i="32"/>
  <c r="G4" i="32"/>
  <c r="G5" i="32"/>
  <c r="G6" i="32"/>
  <c r="G7" i="32"/>
  <c r="G8" i="32"/>
  <c r="G9" i="32"/>
  <c r="G10" i="32"/>
  <c r="G11" i="32"/>
  <c r="F3" i="32"/>
  <c r="F4" i="32"/>
  <c r="F5" i="32"/>
  <c r="F6" i="32"/>
  <c r="F7" i="32"/>
  <c r="F8" i="32"/>
  <c r="F9" i="32"/>
  <c r="F10" i="32"/>
  <c r="F11" i="32"/>
  <c r="F2" i="32"/>
  <c r="F6" i="6"/>
  <c r="F10" i="6"/>
  <c r="F9" i="6"/>
  <c r="F8" i="6"/>
  <c r="F7" i="6"/>
  <c r="F5" i="6"/>
  <c r="D27" i="31"/>
  <c r="D26" i="31"/>
  <c r="D25" i="31"/>
  <c r="D24" i="31"/>
  <c r="D23" i="31"/>
  <c r="D22" i="31"/>
  <c r="G14" i="3"/>
  <c r="G15" i="3"/>
  <c r="G16" i="3"/>
  <c r="G17" i="3"/>
  <c r="G18" i="3"/>
  <c r="G19" i="3"/>
  <c r="G20" i="3"/>
  <c r="G13" i="3"/>
  <c r="F14" i="3"/>
  <c r="F15" i="3"/>
  <c r="F16" i="3"/>
  <c r="F17" i="3"/>
  <c r="F18" i="3"/>
  <c r="F19" i="3"/>
  <c r="F20" i="3"/>
  <c r="F21" i="3"/>
  <c r="F13" i="3"/>
  <c r="D13" i="3"/>
  <c r="E14" i="3"/>
  <c r="E15" i="3"/>
  <c r="E17" i="3"/>
  <c r="E18" i="3"/>
  <c r="E19" i="3"/>
  <c r="E20" i="3"/>
  <c r="E13" i="3"/>
  <c r="D14" i="3"/>
  <c r="D15" i="3"/>
  <c r="D17" i="3"/>
  <c r="D18" i="3"/>
  <c r="D19" i="3"/>
  <c r="D20" i="3"/>
  <c r="I14" i="3"/>
  <c r="I15" i="3"/>
  <c r="I17" i="3"/>
  <c r="I18" i="3"/>
  <c r="I19" i="3"/>
  <c r="I20" i="3"/>
  <c r="I13" i="3"/>
  <c r="C14" i="3"/>
  <c r="C15" i="3"/>
  <c r="C16" i="3"/>
  <c r="I16" i="3" s="1"/>
  <c r="C17" i="3"/>
  <c r="C18" i="3"/>
  <c r="C19" i="3"/>
  <c r="C20" i="3"/>
  <c r="C21" i="3"/>
  <c r="C13" i="3"/>
  <c r="H14" i="3"/>
  <c r="H15" i="3"/>
  <c r="H16" i="3"/>
  <c r="H17" i="3"/>
  <c r="H18" i="3"/>
  <c r="H19" i="3"/>
  <c r="H20" i="3"/>
  <c r="H13" i="3"/>
  <c r="E4" i="3"/>
  <c r="E5" i="3"/>
  <c r="E6" i="3"/>
  <c r="E7" i="3"/>
  <c r="E8" i="3"/>
  <c r="E9" i="3"/>
  <c r="E10" i="3"/>
  <c r="E3" i="3"/>
  <c r="D4" i="3"/>
  <c r="D5" i="3"/>
  <c r="D6" i="3"/>
  <c r="D7" i="3"/>
  <c r="D8" i="3"/>
  <c r="D9" i="3"/>
  <c r="D10" i="3"/>
  <c r="D3" i="3"/>
  <c r="C4" i="3"/>
  <c r="C5" i="3"/>
  <c r="C6" i="3"/>
  <c r="C7" i="3"/>
  <c r="C8" i="3"/>
  <c r="C9" i="3"/>
  <c r="C10" i="3"/>
  <c r="C3" i="3"/>
  <c r="D16" i="3" l="1"/>
  <c r="E16" i="3"/>
  <c r="F32" i="29"/>
  <c r="F33" i="29"/>
  <c r="F34" i="29"/>
  <c r="F35" i="29"/>
  <c r="F36" i="29"/>
  <c r="F37" i="29"/>
  <c r="F38" i="29"/>
  <c r="F39" i="29"/>
  <c r="F40" i="29"/>
  <c r="F41" i="29"/>
  <c r="D40" i="3" l="1"/>
  <c r="D41" i="3"/>
  <c r="D42" i="3"/>
  <c r="D43" i="3"/>
  <c r="D44" i="3"/>
  <c r="D45" i="3"/>
  <c r="D46" i="3"/>
  <c r="D47" i="3"/>
  <c r="C41" i="3"/>
  <c r="C42" i="3"/>
  <c r="C43" i="3"/>
  <c r="C44" i="3"/>
  <c r="C45" i="3"/>
  <c r="C46" i="3"/>
  <c r="C47" i="3"/>
  <c r="C40" i="3"/>
  <c r="M20" i="3"/>
  <c r="K178" i="29"/>
  <c r="J178" i="29"/>
  <c r="I178" i="29"/>
  <c r="H178" i="29"/>
  <c r="G178" i="29"/>
  <c r="K177" i="29"/>
  <c r="J177" i="29"/>
  <c r="I177" i="29"/>
  <c r="H177" i="29"/>
  <c r="G177" i="29"/>
  <c r="K176" i="29"/>
  <c r="J176" i="29"/>
  <c r="I176" i="29"/>
  <c r="H176" i="29"/>
  <c r="G176" i="29"/>
  <c r="K175" i="29"/>
  <c r="J175" i="29"/>
  <c r="I175" i="29"/>
  <c r="H175" i="29"/>
  <c r="G175" i="29"/>
  <c r="K174" i="29"/>
  <c r="J174" i="29"/>
  <c r="I174" i="29"/>
  <c r="H174" i="29"/>
  <c r="G174" i="29"/>
  <c r="K173" i="29"/>
  <c r="J173" i="29"/>
  <c r="I173" i="29"/>
  <c r="H173" i="29"/>
  <c r="G173" i="29"/>
  <c r="E160" i="29"/>
  <c r="E159" i="29"/>
  <c r="E158" i="29"/>
  <c r="E157" i="29"/>
  <c r="E156" i="29"/>
  <c r="E155" i="29"/>
  <c r="E133" i="29"/>
  <c r="E132" i="29"/>
  <c r="F131" i="29"/>
  <c r="E130" i="29"/>
  <c r="E129" i="29"/>
  <c r="E128" i="29"/>
  <c r="C125" i="29"/>
  <c r="C126" i="29" s="1"/>
  <c r="C124" i="29"/>
  <c r="D114" i="29"/>
  <c r="D113" i="29"/>
  <c r="G109" i="29"/>
  <c r="G108" i="29"/>
  <c r="G107" i="29"/>
  <c r="G106" i="29"/>
  <c r="G105" i="29"/>
  <c r="H98" i="29"/>
  <c r="G98" i="29"/>
  <c r="F98" i="29"/>
  <c r="E98" i="29"/>
  <c r="D98" i="29"/>
  <c r="D83" i="29"/>
  <c r="C83" i="29"/>
  <c r="D82" i="29"/>
  <c r="C82" i="29"/>
  <c r="E77" i="29"/>
  <c r="E76" i="29"/>
  <c r="E72" i="29"/>
  <c r="D72" i="29"/>
  <c r="C72" i="29"/>
  <c r="H71" i="29"/>
  <c r="G71" i="29"/>
  <c r="F71" i="29"/>
  <c r="E71" i="29"/>
  <c r="D71" i="29"/>
  <c r="C71" i="29"/>
  <c r="J70" i="29"/>
  <c r="I70" i="29"/>
  <c r="H70" i="29"/>
  <c r="G70" i="29"/>
  <c r="E70" i="29"/>
  <c r="D70" i="29"/>
  <c r="C70" i="29"/>
  <c r="E69" i="29"/>
  <c r="D69" i="29"/>
  <c r="C69" i="29"/>
</calcChain>
</file>

<file path=xl/sharedStrings.xml><?xml version="1.0" encoding="utf-8"?>
<sst xmlns="http://schemas.openxmlformats.org/spreadsheetml/2006/main" count="589" uniqueCount="377">
  <si>
    <t>Sales</t>
  </si>
  <si>
    <t>Names</t>
  </si>
  <si>
    <t>Upper</t>
  </si>
  <si>
    <t>Lower</t>
  </si>
  <si>
    <t>Proper</t>
  </si>
  <si>
    <t>Left</t>
  </si>
  <si>
    <t>Right</t>
  </si>
  <si>
    <t>Mid</t>
  </si>
  <si>
    <t>Len</t>
  </si>
  <si>
    <t>Sharukh Khan</t>
  </si>
  <si>
    <t>Salman Khan</t>
  </si>
  <si>
    <t>Ananya Pandey</t>
  </si>
  <si>
    <t>Happy Singh</t>
  </si>
  <si>
    <t>Akshay Kumar</t>
  </si>
  <si>
    <t>Amir Khan</t>
  </si>
  <si>
    <t>Aishwarya Rai</t>
  </si>
  <si>
    <t>Madhuri Dixit</t>
  </si>
  <si>
    <t>Trim</t>
  </si>
  <si>
    <t>Find</t>
  </si>
  <si>
    <t>Substitute</t>
  </si>
  <si>
    <t>Replace</t>
  </si>
  <si>
    <t>Full Names</t>
  </si>
  <si>
    <t>First Name</t>
  </si>
  <si>
    <t>Last Name</t>
  </si>
  <si>
    <t>Concatenate</t>
  </si>
  <si>
    <t>Sharukh-Khan</t>
  </si>
  <si>
    <t>Salman-Khan</t>
  </si>
  <si>
    <t>Ananya-Pandey</t>
  </si>
  <si>
    <t>Happy-Singh</t>
  </si>
  <si>
    <t>Akshay-Kumar</t>
  </si>
  <si>
    <t>Amir-Khan</t>
  </si>
  <si>
    <t>Aishwarya-Rai</t>
  </si>
  <si>
    <t>Madhuri-Dixit</t>
  </si>
  <si>
    <t>Sharukh//Khan</t>
  </si>
  <si>
    <t>Salman//Khan</t>
  </si>
  <si>
    <t>Ananya//Pandey</t>
  </si>
  <si>
    <t>Happy//Singh</t>
  </si>
  <si>
    <t>Akshay//Kumar</t>
  </si>
  <si>
    <t>Amir//Khan</t>
  </si>
  <si>
    <t>Aishwarya//Rai</t>
  </si>
  <si>
    <t>Madhuri//Dixit</t>
  </si>
  <si>
    <t>Sharukh__Khan</t>
  </si>
  <si>
    <t>Salman__Khan</t>
  </si>
  <si>
    <t>Ananya__Pandey</t>
  </si>
  <si>
    <t>Happy__Singh</t>
  </si>
  <si>
    <t>Akshay__Kumar</t>
  </si>
  <si>
    <t>Amir__Khan</t>
  </si>
  <si>
    <t>Aishwarya__Rai</t>
  </si>
  <si>
    <t>Madhuri__Dixit</t>
  </si>
  <si>
    <t>Category</t>
  </si>
  <si>
    <t>Product</t>
  </si>
  <si>
    <t>Price Each</t>
  </si>
  <si>
    <t>Cost price</t>
  </si>
  <si>
    <t>Premium</t>
  </si>
  <si>
    <t>MidRange</t>
  </si>
  <si>
    <t>Cheap</t>
  </si>
  <si>
    <t>SUM</t>
  </si>
  <si>
    <t>COUNT</t>
  </si>
  <si>
    <t>Quantity Ordered</t>
  </si>
  <si>
    <t>SUMIF</t>
  </si>
  <si>
    <t>SUMIFS</t>
  </si>
  <si>
    <t>Quantity</t>
  </si>
  <si>
    <t>AVERAGEIF</t>
  </si>
  <si>
    <t>AVERAGEIFS</t>
  </si>
  <si>
    <t>Average</t>
  </si>
  <si>
    <t>COUNTIF</t>
  </si>
  <si>
    <t>COUNTIFS</t>
  </si>
  <si>
    <t>Salary</t>
  </si>
  <si>
    <t>HR</t>
  </si>
  <si>
    <t>Bonus</t>
  </si>
  <si>
    <t>Order ID</t>
  </si>
  <si>
    <t>today</t>
  </si>
  <si>
    <t>now</t>
  </si>
  <si>
    <t>date</t>
  </si>
  <si>
    <t>day</t>
  </si>
  <si>
    <t>month</t>
  </si>
  <si>
    <t>year</t>
  </si>
  <si>
    <t>edate</t>
  </si>
  <si>
    <t>time</t>
  </si>
  <si>
    <t>emonth</t>
  </si>
  <si>
    <t>weekday</t>
  </si>
  <si>
    <t>weeknum</t>
  </si>
  <si>
    <t>City</t>
  </si>
  <si>
    <t>Region</t>
  </si>
  <si>
    <t xml:space="preserve">Find </t>
  </si>
  <si>
    <t>ctrl+f</t>
  </si>
  <si>
    <t xml:space="preserve">replace </t>
  </si>
  <si>
    <t>ctrl+h</t>
  </si>
  <si>
    <t xml:space="preserve">goto </t>
  </si>
  <si>
    <t>ctrl+g</t>
  </si>
  <si>
    <t xml:space="preserve">Formula </t>
  </si>
  <si>
    <t xml:space="preserve">Function </t>
  </si>
  <si>
    <t>undo</t>
  </si>
  <si>
    <t>ctrl+z</t>
  </si>
  <si>
    <t xml:space="preserve">redo </t>
  </si>
  <si>
    <t>ctrl+y</t>
  </si>
  <si>
    <t xml:space="preserve">What </t>
  </si>
  <si>
    <t>No1</t>
  </si>
  <si>
    <t>No2</t>
  </si>
  <si>
    <t xml:space="preserve">Logical formula </t>
  </si>
  <si>
    <t>Comparitive operation</t>
  </si>
  <si>
    <t>Is 10 = 10?</t>
  </si>
  <si>
    <t xml:space="preserve">Equal </t>
  </si>
  <si>
    <t>is 10 &lt;&gt; 20?</t>
  </si>
  <si>
    <t xml:space="preserve">Not Equal </t>
  </si>
  <si>
    <t>is 10&gt;20?</t>
  </si>
  <si>
    <t xml:space="preserve">Great than </t>
  </si>
  <si>
    <t>is 10&gt;=20?</t>
  </si>
  <si>
    <t xml:space="preserve">Great than Or equal </t>
  </si>
  <si>
    <t>is 10&lt;20?</t>
  </si>
  <si>
    <t>Less than</t>
  </si>
  <si>
    <t>is 10&lt;=20?</t>
  </si>
  <si>
    <t xml:space="preserve">Less than or Equal </t>
  </si>
  <si>
    <t xml:space="preserve">Logical Functions </t>
  </si>
  <si>
    <t xml:space="preserve">Logical Test </t>
  </si>
  <si>
    <t>Is 25 = 45?</t>
  </si>
  <si>
    <t>is 25 &lt;&gt; 45?</t>
  </si>
  <si>
    <t>&lt;&gt; , (!=)</t>
  </si>
  <si>
    <t>is 25&gt;45?</t>
  </si>
  <si>
    <t>&gt;</t>
  </si>
  <si>
    <t>is 25&gt;=45?</t>
  </si>
  <si>
    <t>&gt;=</t>
  </si>
  <si>
    <t>is 25&lt;45?</t>
  </si>
  <si>
    <t>&lt;</t>
  </si>
  <si>
    <t>is 25&lt;=45?</t>
  </si>
  <si>
    <t>&lt;=</t>
  </si>
  <si>
    <t xml:space="preserve">Practice Example </t>
  </si>
  <si>
    <t xml:space="preserve">shortcuts </t>
  </si>
  <si>
    <t>uses</t>
  </si>
  <si>
    <t>ctrl+$</t>
  </si>
  <si>
    <t>dobule underscore</t>
  </si>
  <si>
    <t>ctrl+sift+$</t>
  </si>
  <si>
    <t>convert number from doller</t>
  </si>
  <si>
    <t xml:space="preserve">alt+$ </t>
  </si>
  <si>
    <t>opens new excel sheet</t>
  </si>
  <si>
    <t>ctrl + mouse select row</t>
  </si>
  <si>
    <t>select specific rows</t>
  </si>
  <si>
    <t>ctrl + mouse+  select cells</t>
  </si>
  <si>
    <t>select specific cells.</t>
  </si>
  <si>
    <t>ctrl+spacebar</t>
  </si>
  <si>
    <t>to select entire column</t>
  </si>
  <si>
    <t xml:space="preserve">shift + spacebar </t>
  </si>
  <si>
    <t>to select entire row</t>
  </si>
  <si>
    <t>ctrl + shift + '+'</t>
  </si>
  <si>
    <t>to add a col or row</t>
  </si>
  <si>
    <t>Ctrl + '-'</t>
  </si>
  <si>
    <t>to del col or row</t>
  </si>
  <si>
    <t>ctrl + 'a'</t>
  </si>
  <si>
    <t>to select all the cells in the sheet</t>
  </si>
  <si>
    <t xml:space="preserve">ctrl + 9 </t>
  </si>
  <si>
    <t>for hinding the cells or row</t>
  </si>
  <si>
    <t xml:space="preserve">ctrl + shift + 9 </t>
  </si>
  <si>
    <t>for unhinging the cell or rows</t>
  </si>
  <si>
    <t>ctrl +  0</t>
  </si>
  <si>
    <t>for hiding cols</t>
  </si>
  <si>
    <t xml:space="preserve">double tap </t>
  </si>
  <si>
    <t>to unhide the cols/rows</t>
  </si>
  <si>
    <t xml:space="preserve">Tab </t>
  </si>
  <si>
    <t>To go to the right side cell</t>
  </si>
  <si>
    <t xml:space="preserve">Enter </t>
  </si>
  <si>
    <t>To go to the down cell</t>
  </si>
  <si>
    <t xml:space="preserve">fn + f2 </t>
  </si>
  <si>
    <t xml:space="preserve">to edit the currect cell </t>
  </si>
  <si>
    <t>Ctrl + B</t>
  </si>
  <si>
    <t xml:space="preserve">Bold </t>
  </si>
  <si>
    <t>Ctrl + I</t>
  </si>
  <si>
    <t>Italic</t>
  </si>
  <si>
    <t>Ctrl + u</t>
  </si>
  <si>
    <t>Underline</t>
  </si>
  <si>
    <t>ctrl + x</t>
  </si>
  <si>
    <t>cut</t>
  </si>
  <si>
    <t xml:space="preserve">ctrl + c </t>
  </si>
  <si>
    <t>copy</t>
  </si>
  <si>
    <t>ctrl +  v</t>
  </si>
  <si>
    <t>paste</t>
  </si>
  <si>
    <t>ctrl + alt + v</t>
  </si>
  <si>
    <t xml:space="preserve">paste special </t>
  </si>
  <si>
    <t>ctrl + z</t>
  </si>
  <si>
    <t>ctrl + y</t>
  </si>
  <si>
    <t>redo</t>
  </si>
  <si>
    <t>ctrl + mouse select Sheets</t>
  </si>
  <si>
    <t xml:space="preserve">Group them </t>
  </si>
  <si>
    <t>Ctrl + G</t>
  </si>
  <si>
    <t xml:space="preserve">Go to </t>
  </si>
  <si>
    <t>F5 or Fn+F5</t>
  </si>
  <si>
    <t xml:space="preserve">Go to special function </t>
  </si>
  <si>
    <t>ctrl + f</t>
  </si>
  <si>
    <t>ctrl + h</t>
  </si>
  <si>
    <t xml:space="preserve">replace all </t>
  </si>
  <si>
    <t>ctrl + "~"</t>
  </si>
  <si>
    <t>Show Formulas</t>
  </si>
  <si>
    <t>Year</t>
  </si>
  <si>
    <t>ALL FUNCTIONS</t>
  </si>
  <si>
    <t>MATHEMATICAL</t>
  </si>
  <si>
    <t>STATISTICAL</t>
  </si>
  <si>
    <t>TEXT</t>
  </si>
  <si>
    <t>DATABASE Eg: VLOOKUP, HLOOKUP</t>
  </si>
  <si>
    <t>DATE AND TIME</t>
  </si>
  <si>
    <t>LOGICAL</t>
  </si>
  <si>
    <t>Sum</t>
  </si>
  <si>
    <t>To find the sum of given values</t>
  </si>
  <si>
    <t>To find the averge of given values</t>
  </si>
  <si>
    <t>To find the product of given values</t>
  </si>
  <si>
    <t>Min</t>
  </si>
  <si>
    <t>To find the minimum value from a given range</t>
  </si>
  <si>
    <t>Max</t>
  </si>
  <si>
    <t>To find the maximum value in a range</t>
  </si>
  <si>
    <t>Count</t>
  </si>
  <si>
    <t>To count no of numeric values in a range</t>
  </si>
  <si>
    <t>Countblank</t>
  </si>
  <si>
    <t>To count blank cells in a range</t>
  </si>
  <si>
    <t>Abs</t>
  </si>
  <si>
    <t>To find the absolute value of a number</t>
  </si>
  <si>
    <t>Sqrt</t>
  </si>
  <si>
    <t>To find the square root of a number</t>
  </si>
  <si>
    <t>Power</t>
  </si>
  <si>
    <t>To find the power of number raised to its power</t>
  </si>
  <si>
    <t>Round</t>
  </si>
  <si>
    <t>To round a number to specified digits</t>
  </si>
  <si>
    <t>E</t>
  </si>
  <si>
    <t>W</t>
  </si>
  <si>
    <t>N</t>
  </si>
  <si>
    <t>S</t>
  </si>
  <si>
    <t>Total sales</t>
  </si>
  <si>
    <t>Avg Sales</t>
  </si>
  <si>
    <t>Min Sales</t>
  </si>
  <si>
    <t>Max Sales</t>
  </si>
  <si>
    <t>Sl no</t>
  </si>
  <si>
    <t>Sub 1</t>
  </si>
  <si>
    <t>Sub 2</t>
  </si>
  <si>
    <t>Sub 3</t>
  </si>
  <si>
    <t>ab</t>
  </si>
  <si>
    <t>TEXT FUN</t>
  </si>
  <si>
    <t>To convert text into upper case</t>
  </si>
  <si>
    <t>To convert text into lower case</t>
  </si>
  <si>
    <t>To convert text into proper case</t>
  </si>
  <si>
    <t>Exact</t>
  </si>
  <si>
    <t xml:space="preserve">To compare 2 text and display result as true or false </t>
  </si>
  <si>
    <t>To count no of charcters in selected text</t>
  </si>
  <si>
    <t xml:space="preserve">To count specified no of characters from the left </t>
  </si>
  <si>
    <t>To count specified no of characters from the right</t>
  </si>
  <si>
    <t>To count specified no of characters from the middle of text</t>
  </si>
  <si>
    <t>To combine two text</t>
  </si>
  <si>
    <t>Places</t>
  </si>
  <si>
    <t>mumbai</t>
  </si>
  <si>
    <t>Delhi</t>
  </si>
  <si>
    <t>Hyderabad</t>
  </si>
  <si>
    <t>computer</t>
  </si>
  <si>
    <t>Computer</t>
  </si>
  <si>
    <t>Full Name</t>
  </si>
  <si>
    <t>Praksh</t>
  </si>
  <si>
    <t>Kumar</t>
  </si>
  <si>
    <t>Pankaj</t>
  </si>
  <si>
    <t xml:space="preserve"> Advani</t>
  </si>
  <si>
    <t>To split names when two names are present</t>
  </si>
  <si>
    <t>Praksh Kumar</t>
  </si>
  <si>
    <t>Pankaj Advani</t>
  </si>
  <si>
    <t xml:space="preserve">LOOKUP </t>
  </si>
  <si>
    <t>Hlookup</t>
  </si>
  <si>
    <t>P1</t>
  </si>
  <si>
    <t>P2</t>
  </si>
  <si>
    <t>P3</t>
  </si>
  <si>
    <t>P4</t>
  </si>
  <si>
    <t>P5</t>
  </si>
  <si>
    <t>Qty</t>
  </si>
  <si>
    <t>Rate</t>
  </si>
  <si>
    <t>Vlookup</t>
  </si>
  <si>
    <t>IDNO</t>
  </si>
  <si>
    <t>Dept</t>
  </si>
  <si>
    <t>Acc</t>
  </si>
  <si>
    <t>Now</t>
  </si>
  <si>
    <t>Returns present date</t>
  </si>
  <si>
    <t>Today</t>
  </si>
  <si>
    <t>Returns present date and time</t>
  </si>
  <si>
    <t>Weekday</t>
  </si>
  <si>
    <t>Returns weekday of selected date</t>
  </si>
  <si>
    <t>To add days to a date</t>
  </si>
  <si>
    <t>To add months to a date</t>
  </si>
  <si>
    <t>To add year to a date</t>
  </si>
  <si>
    <t>To find difference b/w 2 dates</t>
  </si>
  <si>
    <t>To deduct days to a date</t>
  </si>
  <si>
    <t>STATISTICAL FUNCTIONS</t>
  </si>
  <si>
    <t>Sumif</t>
  </si>
  <si>
    <t>Coditional sumation, one condition only</t>
  </si>
  <si>
    <t>Countif</t>
  </si>
  <si>
    <t>Conditional count, one condition only</t>
  </si>
  <si>
    <t>Averageif</t>
  </si>
  <si>
    <t>Conditional average, one condition only</t>
  </si>
  <si>
    <t>Sumifs</t>
  </si>
  <si>
    <t>Conditional summation, multiple conditions</t>
  </si>
  <si>
    <t>Countifs</t>
  </si>
  <si>
    <t>Conditional count,multiple conditions</t>
  </si>
  <si>
    <t>Averageifs</t>
  </si>
  <si>
    <t>Conditional average, multiple conditions</t>
  </si>
  <si>
    <t>Sum If</t>
  </si>
  <si>
    <t>Total Salary of Acc</t>
  </si>
  <si>
    <t>Count of Acc emp</t>
  </si>
  <si>
    <t>Avg Salary of Sales</t>
  </si>
  <si>
    <t>Total sal of Acc and E Reg</t>
  </si>
  <si>
    <t>Count of Acc and E Reg</t>
  </si>
  <si>
    <t>And</t>
  </si>
  <si>
    <t>Logical function which checks for all conditions and displays the result as true or false. True if all conditons are satisfied and false if not</t>
  </si>
  <si>
    <t>Or</t>
  </si>
  <si>
    <t>Logical function which checks for all conditions and displays the result as true or false. True if any one conditon is satisfied and false if none of conditions are satisfied</t>
  </si>
  <si>
    <t>If</t>
  </si>
  <si>
    <t>Logical function which checks for all conditions and displays one result if any one condition is satisfied and another result if not satisfied</t>
  </si>
  <si>
    <t>If or</t>
  </si>
  <si>
    <t xml:space="preserve">Combination of both If, Or </t>
  </si>
  <si>
    <t>If and</t>
  </si>
  <si>
    <t>Combination of both if,and</t>
  </si>
  <si>
    <t>Elg for Bonus</t>
  </si>
  <si>
    <t xml:space="preserve">     </t>
  </si>
  <si>
    <t>TEXTJOIN</t>
  </si>
  <si>
    <t xml:space="preserve"> Search</t>
  </si>
  <si>
    <t>with spaces</t>
  </si>
  <si>
    <t>without spaces</t>
  </si>
  <si>
    <t>=</t>
  </si>
  <si>
    <t>Apple iPhone</t>
  </si>
  <si>
    <t>Sony Camera</t>
  </si>
  <si>
    <t>Dell Monito</t>
  </si>
  <si>
    <t xml:space="preserve">Nike Shoes    </t>
  </si>
  <si>
    <t xml:space="preserve">    Apple iPhone</t>
  </si>
  <si>
    <t xml:space="preserve">     Boat Airpods     </t>
  </si>
  <si>
    <t xml:space="preserve">
HP Laptop</t>
  </si>
  <si>
    <t xml:space="preserve">Samsung Mobile     </t>
  </si>
  <si>
    <t xml:space="preserve">       Sony Camera</t>
  </si>
  <si>
    <t xml:space="preserve">      Puma Tshirt     </t>
  </si>
  <si>
    <t>nike Shoes</t>
  </si>
  <si>
    <t>boat Airpods</t>
  </si>
  <si>
    <t>HP laptop</t>
  </si>
  <si>
    <t>samsung mobile</t>
  </si>
  <si>
    <t>Ppuma tshirt</t>
  </si>
  <si>
    <t>Product Name</t>
  </si>
  <si>
    <t xml:space="preserve">    Wireless Mouse</t>
  </si>
  <si>
    <t xml:space="preserve">    Gaming Laptop</t>
  </si>
  <si>
    <t xml:space="preserve">    USB-C Cable</t>
  </si>
  <si>
    <t xml:space="preserve">    Desk Lamp</t>
  </si>
  <si>
    <t xml:space="preserve">    Smartwatch</t>
  </si>
  <si>
    <t xml:space="preserve">    Bluetooth Speaker</t>
  </si>
  <si>
    <t xml:space="preserve">    Laptop Stand</t>
  </si>
  <si>
    <t xml:space="preserve">    Canon Printer</t>
  </si>
  <si>
    <t xml:space="preserve">    Boat Airpods</t>
  </si>
  <si>
    <t xml:space="preserve">    Mi Powerbank</t>
  </si>
  <si>
    <t>Cost Price</t>
  </si>
  <si>
    <t xml:space="preserve">        Mumbai</t>
  </si>
  <si>
    <t xml:space="preserve">        Delhi</t>
  </si>
  <si>
    <t xml:space="preserve">        Kolkata</t>
  </si>
  <si>
    <t xml:space="preserve">        Pune</t>
  </si>
  <si>
    <t xml:space="preserve">        Bengaluru</t>
  </si>
  <si>
    <t xml:space="preserve">    Air Purifier</t>
  </si>
  <si>
    <t xml:space="preserve">        Chennai</t>
  </si>
  <si>
    <t xml:space="preserve">    Wireless Keyboard</t>
  </si>
  <si>
    <t xml:space="preserve">        Hyderabad</t>
  </si>
  <si>
    <t xml:space="preserve">    Electric Kettle</t>
  </si>
  <si>
    <t xml:space="preserve">    Noise Earbuds</t>
  </si>
  <si>
    <t xml:space="preserve">    Redmi Tablet</t>
  </si>
  <si>
    <t xml:space="preserve">    HP Laptop Charger</t>
  </si>
  <si>
    <t xml:space="preserve">    JBL Mini Speaker</t>
  </si>
  <si>
    <t xml:space="preserve">    Titan Watch</t>
  </si>
  <si>
    <t xml:space="preserve">    Dell Monitor</t>
  </si>
  <si>
    <t xml:space="preserve">    Asus Keyboard</t>
  </si>
  <si>
    <t>Wireless Mouse</t>
  </si>
  <si>
    <t>Gaming Laptop</t>
  </si>
  <si>
    <t>USB-C Cable</t>
  </si>
  <si>
    <t>Desk Lamp</t>
  </si>
  <si>
    <t>Smartwatch</t>
  </si>
  <si>
    <t>Bluetooth Speaker</t>
  </si>
  <si>
    <t>Travel Charger</t>
  </si>
  <si>
    <t>Noise Cancelling Headphones</t>
  </si>
  <si>
    <t>Laptop Stand</t>
  </si>
  <si>
    <t>Phone Case</t>
  </si>
  <si>
    <t>Price Each (₹)</t>
  </si>
  <si>
    <t>Total Revenue (₹)</t>
  </si>
  <si>
    <r>
      <t>High Value Order (</t>
    </r>
    <r>
      <rPr>
        <b/>
        <sz val="10"/>
        <color rgb="FFFF0000"/>
        <rFont val="Arial Unicode MS"/>
        <family val="2"/>
      </rPr>
      <t>IF</t>
    </r>
    <r>
      <rPr>
        <b/>
        <sz val="11"/>
        <color rgb="FFFF0000"/>
        <rFont val="Calibri"/>
        <family val="2"/>
        <scheme val="minor"/>
      </rPr>
      <t>)</t>
    </r>
  </si>
  <si>
    <r>
      <t>Top Premium Sale (</t>
    </r>
    <r>
      <rPr>
        <b/>
        <sz val="10"/>
        <color rgb="FFFF0000"/>
        <rFont val="Arial Unicode MS"/>
        <family val="2"/>
      </rPr>
      <t>AND</t>
    </r>
    <r>
      <rPr>
        <b/>
        <sz val="11"/>
        <color rgb="FFFF0000"/>
        <rFont val="Calibri"/>
        <family val="2"/>
        <scheme val="minor"/>
      </rPr>
      <t>)</t>
    </r>
  </si>
  <si>
    <r>
      <t>Offer Eligible (</t>
    </r>
    <r>
      <rPr>
        <b/>
        <sz val="10"/>
        <color rgb="FFFF0000"/>
        <rFont val="Arial Unicode MS"/>
        <family val="2"/>
      </rPr>
      <t>OR</t>
    </r>
    <r>
      <rPr>
        <b/>
        <sz val="11"/>
        <color rgb="FFFF0000"/>
        <rFont val="Calibri"/>
        <family val="2"/>
        <scheme val="minor"/>
      </rPr>
      <t>)</t>
    </r>
  </si>
  <si>
    <r>
      <t>Not Premium (</t>
    </r>
    <r>
      <rPr>
        <b/>
        <sz val="10"/>
        <color rgb="FFFF0000"/>
        <rFont val="Arial Unicode MS"/>
        <family val="2"/>
      </rPr>
      <t>NOT</t>
    </r>
    <r>
      <rPr>
        <b/>
        <sz val="11"/>
        <color rgb="FFFF0000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</si>
</sst>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 [$€-2]\ * #,##0.00_ ;_ [$€-2]\ * \-#,##0.00_ ;_ [$€-2]\ * &quot;-&quot;??_ ;_ @_ "/>
  </numFmts>
  <fonts count="2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b/>
      <sz val="12"/>
      <color theme="1"/>
      <name val="Calibri"/>
    </font>
    <font>
      <sz val="9"/>
      <color rgb="FF374151"/>
      <name val="Quattrocento Sans"/>
    </font>
    <font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indexed="17"/>
      <name val="Calibri"/>
      <family val="2"/>
    </font>
    <font>
      <b/>
      <sz val="13"/>
      <color indexed="30"/>
      <name val="Calibri"/>
      <family val="2"/>
    </font>
    <font>
      <b/>
      <sz val="11"/>
      <color indexed="10"/>
      <name val="Calibri"/>
      <family val="2"/>
    </font>
    <font>
      <b/>
      <sz val="11"/>
      <color indexed="62"/>
      <name val="Calibri"/>
      <family val="2"/>
    </font>
    <font>
      <b/>
      <sz val="14"/>
      <color indexed="62"/>
      <name val="Calibri"/>
      <family val="2"/>
    </font>
    <font>
      <b/>
      <sz val="11"/>
      <color indexed="8"/>
      <name val="Calibri"/>
      <family val="2"/>
    </font>
    <font>
      <b/>
      <sz val="12"/>
      <color indexed="62"/>
      <name val="Calibri"/>
      <family val="2"/>
    </font>
    <font>
      <b/>
      <sz val="11"/>
      <color indexed="44"/>
      <name val="Calibri"/>
      <family val="2"/>
    </font>
    <font>
      <sz val="11"/>
      <color indexed="62"/>
      <name val="Calibri"/>
      <family val="2"/>
    </font>
    <font>
      <sz val="1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scheme val="minor"/>
    </font>
    <font>
      <b/>
      <sz val="10"/>
      <color rgb="FFFF0000"/>
      <name val="Arial Unicode MS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FBE4D5"/>
        <bgColor rgb="FFFBE4D5"/>
      </patternFill>
    </fill>
    <fill>
      <patternFill patternType="solid">
        <fgColor rgb="FFF7F7F8"/>
        <bgColor rgb="FFF7F7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9D9E3"/>
      </left>
      <right style="medium">
        <color rgb="FFD9D9E3"/>
      </right>
      <top/>
      <bottom/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E7E6E6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9E2F3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D9E2F3"/>
      </top>
      <bottom style="thin">
        <color rgb="FFE7E6E6"/>
      </bottom>
      <diagonal/>
    </border>
    <border>
      <left style="thin">
        <color rgb="FF000000"/>
      </left>
      <right style="thin">
        <color rgb="FF000000"/>
      </right>
      <top style="thin">
        <color rgb="FFE7E6E6"/>
      </top>
      <bottom/>
      <diagonal/>
    </border>
    <border>
      <left style="thin">
        <color rgb="FF000000"/>
      </left>
      <right/>
      <top style="thin">
        <color rgb="FFD6DCE4"/>
      </top>
      <bottom/>
      <diagonal/>
    </border>
    <border>
      <left style="thin">
        <color rgb="FF000000"/>
      </left>
      <right/>
      <top style="thin">
        <color rgb="FFE7E6E6"/>
      </top>
      <bottom/>
      <diagonal/>
    </border>
    <border>
      <left style="thin">
        <color rgb="FF000000"/>
      </left>
      <right/>
      <top style="thin">
        <color rgb="FFE7E6E6"/>
      </top>
      <bottom/>
      <diagonal/>
    </border>
    <border>
      <left/>
      <right/>
      <top style="thin">
        <color rgb="FFE7E6E6"/>
      </top>
      <bottom/>
      <diagonal/>
    </border>
    <border>
      <left style="thin">
        <color rgb="FF000000"/>
      </left>
      <right style="thin">
        <color rgb="FF000000"/>
      </right>
      <top style="thin">
        <color rgb="FFE7E6E6"/>
      </top>
      <bottom style="thin">
        <color rgb="FFE7E6E6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/>
      <right/>
      <top/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</borders>
  <cellStyleXfs count="4">
    <xf numFmtId="0" fontId="0" fillId="0" borderId="0"/>
    <xf numFmtId="0" fontId="3" fillId="0" borderId="1"/>
    <xf numFmtId="43" fontId="3" fillId="0" borderId="1" applyFont="0" applyFill="0" applyBorder="0" applyAlignment="0" applyProtection="0"/>
    <xf numFmtId="164" fontId="3" fillId="0" borderId="1" applyFont="0" applyFill="0" applyBorder="0" applyAlignment="0" applyProtection="0"/>
  </cellStyleXfs>
  <cellXfs count="124">
    <xf numFmtId="0" fontId="0" fillId="0" borderId="0" xfId="0"/>
    <xf numFmtId="0" fontId="4" fillId="0" borderId="0" xfId="0" applyFont="1" applyAlignment="1">
      <alignment wrapText="1"/>
    </xf>
    <xf numFmtId="165" fontId="4" fillId="0" borderId="0" xfId="0" applyNumberFormat="1" applyFont="1"/>
    <xf numFmtId="0" fontId="4" fillId="2" borderId="1" xfId="0" applyFont="1" applyFill="1" applyBorder="1"/>
    <xf numFmtId="0" fontId="6" fillId="0" borderId="0" xfId="0" applyFont="1"/>
    <xf numFmtId="0" fontId="7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/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4" fillId="5" borderId="2" xfId="0" applyFont="1" applyFill="1" applyBorder="1" applyAlignment="1">
      <alignment vertical="center"/>
    </xf>
    <xf numFmtId="0" fontId="5" fillId="0" borderId="0" xfId="0" applyFont="1"/>
    <xf numFmtId="0" fontId="4" fillId="4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right" wrapText="1"/>
    </xf>
    <xf numFmtId="2" fontId="4" fillId="7" borderId="2" xfId="0" applyNumberFormat="1" applyFont="1" applyFill="1" applyBorder="1" applyAlignment="1">
      <alignment horizontal="right" wrapText="1"/>
    </xf>
    <xf numFmtId="0" fontId="4" fillId="8" borderId="1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vertical="center"/>
    </xf>
    <xf numFmtId="0" fontId="4" fillId="5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wrapText="1"/>
    </xf>
    <xf numFmtId="2" fontId="4" fillId="2" borderId="2" xfId="0" applyNumberFormat="1" applyFont="1" applyFill="1" applyBorder="1" applyAlignment="1">
      <alignment horizontal="right" wrapText="1"/>
    </xf>
    <xf numFmtId="0" fontId="4" fillId="0" borderId="2" xfId="0" applyFont="1" applyBorder="1" applyAlignment="1">
      <alignment vertical="center"/>
    </xf>
    <xf numFmtId="2" fontId="4" fillId="0" borderId="2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8" borderId="19" xfId="0" applyFont="1" applyFill="1" applyBorder="1" applyAlignment="1">
      <alignment vertical="center"/>
    </xf>
    <xf numFmtId="0" fontId="5" fillId="0" borderId="20" xfId="0" applyFont="1" applyBorder="1" applyAlignment="1">
      <alignment horizontal="center"/>
    </xf>
    <xf numFmtId="0" fontId="4" fillId="8" borderId="21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/>
    <xf numFmtId="0" fontId="5" fillId="0" borderId="25" xfId="0" applyFont="1" applyBorder="1"/>
    <xf numFmtId="0" fontId="4" fillId="8" borderId="26" xfId="0" applyFont="1" applyFill="1" applyBorder="1" applyAlignment="1">
      <alignment horizontal="center" vertical="center"/>
    </xf>
    <xf numFmtId="22" fontId="4" fillId="0" borderId="0" xfId="0" applyNumberFormat="1" applyFont="1"/>
    <xf numFmtId="14" fontId="4" fillId="0" borderId="0" xfId="0" applyNumberFormat="1" applyFont="1"/>
    <xf numFmtId="20" fontId="4" fillId="0" borderId="0" xfId="0" applyNumberFormat="1" applyFont="1"/>
    <xf numFmtId="14" fontId="4" fillId="2" borderId="1" xfId="0" applyNumberFormat="1" applyFont="1" applyFill="1" applyBorder="1"/>
    <xf numFmtId="0" fontId="3" fillId="0" borderId="1" xfId="1"/>
    <xf numFmtId="0" fontId="3" fillId="13" borderId="27" xfId="1" applyFill="1" applyBorder="1"/>
    <xf numFmtId="0" fontId="3" fillId="13" borderId="1" xfId="1" applyFill="1"/>
    <xf numFmtId="0" fontId="0" fillId="11" borderId="27" xfId="0" applyFill="1" applyBorder="1"/>
    <xf numFmtId="0" fontId="0" fillId="10" borderId="27" xfId="0" applyFill="1" applyBorder="1"/>
    <xf numFmtId="0" fontId="0" fillId="0" borderId="27" xfId="0" applyBorder="1"/>
    <xf numFmtId="0" fontId="0" fillId="12" borderId="27" xfId="0" applyFill="1" applyBorder="1"/>
    <xf numFmtId="0" fontId="11" fillId="0" borderId="0" xfId="0" applyFont="1"/>
    <xf numFmtId="0" fontId="4" fillId="0" borderId="28" xfId="0" applyFont="1" applyBorder="1" applyAlignment="1">
      <alignment horizontal="center" vertical="center"/>
    </xf>
    <xf numFmtId="0" fontId="11" fillId="9" borderId="1" xfId="1" applyFont="1" applyFill="1"/>
    <xf numFmtId="0" fontId="11" fillId="9" borderId="1" xfId="1" applyFont="1" applyFill="1" applyAlignment="1">
      <alignment horizontal="center"/>
    </xf>
    <xf numFmtId="0" fontId="3" fillId="0" borderId="1" xfId="1" applyAlignment="1">
      <alignment horizontal="center" vertical="center"/>
    </xf>
    <xf numFmtId="0" fontId="3" fillId="0" borderId="1" xfId="1" applyAlignment="1">
      <alignment horizontal="center" vertical="center" wrapText="1"/>
    </xf>
    <xf numFmtId="0" fontId="3" fillId="0" borderId="1" xfId="1" applyAlignment="1">
      <alignment wrapText="1"/>
    </xf>
    <xf numFmtId="0" fontId="4" fillId="0" borderId="1" xfId="0" applyFont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14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5" fillId="0" borderId="0" xfId="0" applyFont="1"/>
    <xf numFmtId="0" fontId="16" fillId="0" borderId="29" xfId="0" applyFont="1" applyBorder="1"/>
    <xf numFmtId="0" fontId="17" fillId="0" borderId="0" xfId="0" applyFont="1"/>
    <xf numFmtId="0" fontId="15" fillId="0" borderId="29" xfId="0" applyFont="1" applyBorder="1"/>
    <xf numFmtId="0" fontId="16" fillId="0" borderId="0" xfId="0" applyFont="1"/>
    <xf numFmtId="0" fontId="18" fillId="0" borderId="0" xfId="0" applyFont="1"/>
    <xf numFmtId="0" fontId="16" fillId="0" borderId="29" xfId="0" applyFont="1" applyBorder="1" applyAlignment="1">
      <alignment horizontal="center"/>
    </xf>
    <xf numFmtId="22" fontId="16" fillId="0" borderId="29" xfId="0" applyNumberFormat="1" applyFont="1" applyBorder="1"/>
    <xf numFmtId="14" fontId="16" fillId="0" borderId="29" xfId="0" applyNumberFormat="1" applyFont="1" applyBorder="1"/>
    <xf numFmtId="14" fontId="0" fillId="0" borderId="0" xfId="0" applyNumberFormat="1"/>
    <xf numFmtId="14" fontId="16" fillId="0" borderId="30" xfId="0" applyNumberFormat="1" applyFont="1" applyBorder="1"/>
    <xf numFmtId="14" fontId="16" fillId="0" borderId="31" xfId="0" applyNumberFormat="1" applyFont="1" applyBorder="1"/>
    <xf numFmtId="0" fontId="19" fillId="0" borderId="0" xfId="0" applyFont="1"/>
    <xf numFmtId="0" fontId="20" fillId="0" borderId="29" xfId="0" applyFont="1" applyBorder="1"/>
    <xf numFmtId="0" fontId="15" fillId="0" borderId="30" xfId="0" applyFont="1" applyBorder="1"/>
    <xf numFmtId="0" fontId="21" fillId="0" borderId="29" xfId="0" applyFont="1" applyBorder="1"/>
    <xf numFmtId="0" fontId="12" fillId="4" borderId="2" xfId="0" applyFont="1" applyFill="1" applyBorder="1" applyAlignment="1">
      <alignment horizontal="center" vertical="center"/>
    </xf>
    <xf numFmtId="0" fontId="2" fillId="0" borderId="0" xfId="0" applyFont="1"/>
    <xf numFmtId="0" fontId="22" fillId="11" borderId="0" xfId="0" applyFont="1" applyFill="1"/>
    <xf numFmtId="0" fontId="7" fillId="3" borderId="18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24" fillId="16" borderId="0" xfId="0" applyFont="1" applyFill="1"/>
    <xf numFmtId="0" fontId="0" fillId="15" borderId="0" xfId="0" applyFill="1"/>
    <xf numFmtId="0" fontId="26" fillId="0" borderId="1" xfId="0" applyFont="1" applyBorder="1"/>
    <xf numFmtId="0" fontId="26" fillId="0" borderId="35" xfId="0" applyFont="1" applyBorder="1"/>
    <xf numFmtId="0" fontId="26" fillId="0" borderId="36" xfId="0" applyFont="1" applyBorder="1"/>
    <xf numFmtId="0" fontId="26" fillId="0" borderId="37" xfId="0" applyFont="1" applyBorder="1"/>
    <xf numFmtId="0" fontId="26" fillId="0" borderId="38" xfId="0" applyFont="1" applyBorder="1"/>
    <xf numFmtId="0" fontId="26" fillId="0" borderId="39" xfId="0" applyFont="1" applyBorder="1"/>
    <xf numFmtId="0" fontId="26" fillId="0" borderId="40" xfId="0" applyFont="1" applyBorder="1"/>
    <xf numFmtId="0" fontId="26" fillId="0" borderId="41" xfId="0" applyFont="1" applyBorder="1"/>
    <xf numFmtId="0" fontId="26" fillId="0" borderId="42" xfId="0" applyFont="1" applyBorder="1"/>
    <xf numFmtId="0" fontId="23" fillId="14" borderId="32" xfId="0" applyFont="1" applyFill="1" applyBorder="1"/>
    <xf numFmtId="0" fontId="23" fillId="14" borderId="33" xfId="0" applyFont="1" applyFill="1" applyBorder="1"/>
    <xf numFmtId="0" fontId="23" fillId="14" borderId="34" xfId="0" applyFont="1" applyFill="1" applyBorder="1"/>
    <xf numFmtId="0" fontId="2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6" fillId="15" borderId="0" xfId="0" applyFont="1" applyFill="1" applyAlignment="1">
      <alignment horizontal="center" vertical="center" wrapText="1"/>
    </xf>
    <xf numFmtId="1" fontId="0" fillId="0" borderId="0" xfId="0" applyNumberFormat="1"/>
    <xf numFmtId="0" fontId="1" fillId="0" borderId="1" xfId="0" applyFont="1" applyBorder="1" applyAlignment="1">
      <alignment vertical="center" wrapText="1"/>
    </xf>
    <xf numFmtId="0" fontId="25" fillId="16" borderId="44" xfId="0" applyFont="1" applyFill="1" applyBorder="1" applyAlignment="1">
      <alignment horizontal="center" vertical="center" wrapText="1"/>
    </xf>
    <xf numFmtId="1" fontId="1" fillId="0" borderId="43" xfId="0" applyNumberFormat="1" applyFont="1" applyBorder="1" applyAlignment="1">
      <alignment vertical="center" wrapText="1"/>
    </xf>
    <xf numFmtId="0" fontId="1" fillId="0" borderId="47" xfId="0" applyFont="1" applyBorder="1" applyAlignment="1">
      <alignment vertical="center" wrapText="1"/>
    </xf>
    <xf numFmtId="1" fontId="1" fillId="0" borderId="45" xfId="0" applyNumberFormat="1" applyFont="1" applyBorder="1" applyAlignment="1">
      <alignment vertical="center" wrapText="1"/>
    </xf>
    <xf numFmtId="1" fontId="1" fillId="0" borderId="46" xfId="0" applyNumberFormat="1" applyFont="1" applyBorder="1" applyAlignment="1">
      <alignment vertical="center" wrapText="1"/>
    </xf>
    <xf numFmtId="0" fontId="1" fillId="0" borderId="48" xfId="0" applyFont="1" applyBorder="1" applyAlignment="1">
      <alignment vertical="center" wrapText="1"/>
    </xf>
    <xf numFmtId="1" fontId="25" fillId="16" borderId="43" xfId="0" applyNumberFormat="1" applyFont="1" applyFill="1" applyBorder="1" applyAlignment="1">
      <alignment horizontal="center" vertical="center" wrapText="1"/>
    </xf>
    <xf numFmtId="0" fontId="25" fillId="16" borderId="47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vertical="center" wrapText="1"/>
    </xf>
    <xf numFmtId="0" fontId="4" fillId="5" borderId="10" xfId="0" applyFont="1" applyFill="1" applyBorder="1" applyAlignment="1">
      <alignment horizontal="center" vertical="center"/>
    </xf>
    <xf numFmtId="0" fontId="10" fillId="0" borderId="15" xfId="0" applyFont="1" applyBorder="1"/>
    <xf numFmtId="0" fontId="12" fillId="5" borderId="10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0" fillId="0" borderId="9" xfId="0" applyFont="1" applyBorder="1"/>
    <xf numFmtId="0" fontId="10" fillId="0" borderId="8" xfId="0" applyFont="1" applyBorder="1"/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Comma 2" xfId="2"/>
    <cellStyle name="Currency 2" xfId="3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2.xml"/><Relationship Id="rId18" Type="http://schemas.openxmlformats.org/officeDocument/2006/relationships/customXml" Target="../ink/ink17.xml"/><Relationship Id="rId26" Type="http://schemas.openxmlformats.org/officeDocument/2006/relationships/customXml" Target="../ink/ink24.xml"/><Relationship Id="rId39" Type="http://schemas.openxmlformats.org/officeDocument/2006/relationships/customXml" Target="../ink/ink35.xml"/><Relationship Id="rId21" Type="http://schemas.openxmlformats.org/officeDocument/2006/relationships/customXml" Target="../ink/ink19.xml"/><Relationship Id="rId34" Type="http://schemas.openxmlformats.org/officeDocument/2006/relationships/customXml" Target="../ink/ink32.xml"/><Relationship Id="rId42" Type="http://schemas.openxmlformats.org/officeDocument/2006/relationships/customXml" Target="../ink/ink38.xml"/><Relationship Id="rId47" Type="http://schemas.openxmlformats.org/officeDocument/2006/relationships/customXml" Target="../ink/ink43.xml"/><Relationship Id="rId50" Type="http://schemas.openxmlformats.org/officeDocument/2006/relationships/customXml" Target="../ink/ink46.xml"/><Relationship Id="rId55" Type="http://schemas.openxmlformats.org/officeDocument/2006/relationships/customXml" Target="../ink/ink51.xml"/><Relationship Id="rId63" Type="http://schemas.openxmlformats.org/officeDocument/2006/relationships/customXml" Target="../ink/ink59.xml"/><Relationship Id="rId7" Type="http://schemas.openxmlformats.org/officeDocument/2006/relationships/customXml" Target="../ink/ink6.xml"/><Relationship Id="rId2" Type="http://schemas.openxmlformats.org/officeDocument/2006/relationships/image" Target="../media/image16.png"/><Relationship Id="rId16" Type="http://schemas.openxmlformats.org/officeDocument/2006/relationships/customXml" Target="../ink/ink15.xml"/><Relationship Id="rId29" Type="http://schemas.openxmlformats.org/officeDocument/2006/relationships/customXml" Target="../ink/ink27.xml"/><Relationship Id="rId11" Type="http://schemas.openxmlformats.org/officeDocument/2006/relationships/customXml" Target="../ink/ink10.xml"/><Relationship Id="rId24" Type="http://schemas.openxmlformats.org/officeDocument/2006/relationships/customXml" Target="../ink/ink22.xml"/><Relationship Id="rId32" Type="http://schemas.openxmlformats.org/officeDocument/2006/relationships/customXml" Target="../ink/ink30.xml"/><Relationship Id="rId37" Type="http://schemas.openxmlformats.org/officeDocument/2006/relationships/customXml" Target="../ink/ink34.xml"/><Relationship Id="rId40" Type="http://schemas.openxmlformats.org/officeDocument/2006/relationships/customXml" Target="../ink/ink36.xml"/><Relationship Id="rId45" Type="http://schemas.openxmlformats.org/officeDocument/2006/relationships/customXml" Target="../ink/ink41.xml"/><Relationship Id="rId53" Type="http://schemas.openxmlformats.org/officeDocument/2006/relationships/customXml" Target="../ink/ink49.xml"/><Relationship Id="rId58" Type="http://schemas.openxmlformats.org/officeDocument/2006/relationships/customXml" Target="../ink/ink54.xml"/><Relationship Id="rId5" Type="http://schemas.openxmlformats.org/officeDocument/2006/relationships/customXml" Target="../ink/ink4.xml"/><Relationship Id="rId61" Type="http://schemas.openxmlformats.org/officeDocument/2006/relationships/customXml" Target="../ink/ink57.xml"/><Relationship Id="rId19" Type="http://schemas.openxmlformats.org/officeDocument/2006/relationships/customXml" Target="../ink/ink18.xml"/><Relationship Id="rId14" Type="http://schemas.openxmlformats.org/officeDocument/2006/relationships/customXml" Target="../ink/ink13.xml"/><Relationship Id="rId22" Type="http://schemas.openxmlformats.org/officeDocument/2006/relationships/customXml" Target="../ink/ink20.xml"/><Relationship Id="rId27" Type="http://schemas.openxmlformats.org/officeDocument/2006/relationships/customXml" Target="../ink/ink25.xml"/><Relationship Id="rId30" Type="http://schemas.openxmlformats.org/officeDocument/2006/relationships/customXml" Target="../ink/ink28.xml"/><Relationship Id="rId35" Type="http://schemas.openxmlformats.org/officeDocument/2006/relationships/customXml" Target="../ink/ink33.xml"/><Relationship Id="rId43" Type="http://schemas.openxmlformats.org/officeDocument/2006/relationships/customXml" Target="../ink/ink39.xml"/><Relationship Id="rId48" Type="http://schemas.openxmlformats.org/officeDocument/2006/relationships/customXml" Target="../ink/ink44.xml"/><Relationship Id="rId56" Type="http://schemas.openxmlformats.org/officeDocument/2006/relationships/customXml" Target="../ink/ink52.xml"/><Relationship Id="rId8" Type="http://schemas.openxmlformats.org/officeDocument/2006/relationships/customXml" Target="../ink/ink7.xml"/><Relationship Id="rId51" Type="http://schemas.openxmlformats.org/officeDocument/2006/relationships/customXml" Target="../ink/ink47.xml"/><Relationship Id="rId3" Type="http://schemas.openxmlformats.org/officeDocument/2006/relationships/customXml" Target="../ink/ink3.xml"/><Relationship Id="rId12" Type="http://schemas.openxmlformats.org/officeDocument/2006/relationships/customXml" Target="../ink/ink11.xml"/><Relationship Id="rId17" Type="http://schemas.openxmlformats.org/officeDocument/2006/relationships/customXml" Target="../ink/ink16.xml"/><Relationship Id="rId25" Type="http://schemas.openxmlformats.org/officeDocument/2006/relationships/customXml" Target="../ink/ink23.xml"/><Relationship Id="rId33" Type="http://schemas.openxmlformats.org/officeDocument/2006/relationships/customXml" Target="../ink/ink31.xml"/><Relationship Id="rId38" Type="http://schemas.openxmlformats.org/officeDocument/2006/relationships/image" Target="../media/image19.png"/><Relationship Id="rId46" Type="http://schemas.openxmlformats.org/officeDocument/2006/relationships/customXml" Target="../ink/ink42.xml"/><Relationship Id="rId59" Type="http://schemas.openxmlformats.org/officeDocument/2006/relationships/customXml" Target="../ink/ink55.xml"/><Relationship Id="rId20" Type="http://schemas.openxmlformats.org/officeDocument/2006/relationships/image" Target="../media/image13.png"/><Relationship Id="rId41" Type="http://schemas.openxmlformats.org/officeDocument/2006/relationships/customXml" Target="../ink/ink37.xml"/><Relationship Id="rId54" Type="http://schemas.openxmlformats.org/officeDocument/2006/relationships/customXml" Target="../ink/ink50.xml"/><Relationship Id="rId62" Type="http://schemas.openxmlformats.org/officeDocument/2006/relationships/customXml" Target="../ink/ink58.xml"/><Relationship Id="rId1" Type="http://schemas.openxmlformats.org/officeDocument/2006/relationships/customXml" Target="../ink/ink2.xml"/><Relationship Id="rId6" Type="http://schemas.openxmlformats.org/officeDocument/2006/relationships/customXml" Target="../ink/ink5.xml"/><Relationship Id="rId15" Type="http://schemas.openxmlformats.org/officeDocument/2006/relationships/customXml" Target="../ink/ink14.xml"/><Relationship Id="rId23" Type="http://schemas.openxmlformats.org/officeDocument/2006/relationships/customXml" Target="../ink/ink21.xml"/><Relationship Id="rId28" Type="http://schemas.openxmlformats.org/officeDocument/2006/relationships/customXml" Target="../ink/ink26.xml"/><Relationship Id="rId36" Type="http://schemas.openxmlformats.org/officeDocument/2006/relationships/image" Target="../media/image15.png"/><Relationship Id="rId49" Type="http://schemas.openxmlformats.org/officeDocument/2006/relationships/customXml" Target="../ink/ink45.xml"/><Relationship Id="rId57" Type="http://schemas.openxmlformats.org/officeDocument/2006/relationships/customXml" Target="../ink/ink53.xml"/><Relationship Id="rId10" Type="http://schemas.openxmlformats.org/officeDocument/2006/relationships/customXml" Target="../ink/ink9.xml"/><Relationship Id="rId31" Type="http://schemas.openxmlformats.org/officeDocument/2006/relationships/customXml" Target="../ink/ink29.xml"/><Relationship Id="rId44" Type="http://schemas.openxmlformats.org/officeDocument/2006/relationships/customXml" Target="../ink/ink40.xml"/><Relationship Id="rId52" Type="http://schemas.openxmlformats.org/officeDocument/2006/relationships/customXml" Target="../ink/ink48.xml"/><Relationship Id="rId60" Type="http://schemas.openxmlformats.org/officeDocument/2006/relationships/customXml" Target="../ink/ink56.xml"/><Relationship Id="rId4" Type="http://schemas.openxmlformats.org/officeDocument/2006/relationships/image" Target="../media/image14.png"/><Relationship Id="rId9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228600</xdr:colOff>
      <xdr:row>1</xdr:row>
      <xdr:rowOff>9526</xdr:rowOff>
    </xdr:from>
    <xdr:ext cx="4019550" cy="1666646"/>
    <xdr:sp macro="" textlink="">
      <xdr:nvSpPr>
        <xdr:cNvPr id="3" name="Shape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498510" y="198310"/>
          <a:ext cx="4019550" cy="1666646"/>
        </a:xfrm>
        <a:prstGeom prst="rect">
          <a:avLst/>
        </a:prstGeom>
        <a:solidFill>
          <a:srgbClr val="D8E2F3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1) User Interface,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2) Inserting, Deleting - Rows, Columns, Cells.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3) Hide, Unhide, Freeze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4) Copy, Paste, redo, undo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5) Go To, Find and Replace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6) Sorting, Filters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7) Paste and Paste Special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16</xdr:col>
      <xdr:colOff>425451</xdr:colOff>
      <xdr:row>16</xdr:row>
      <xdr:rowOff>86354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E02988C9-775D-4423-A08D-0D8474C0B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8675" y="762000"/>
          <a:ext cx="5911851" cy="2372354"/>
        </a:xfrm>
        <a:prstGeom prst="rect">
          <a:avLst/>
        </a:prstGeom>
      </xdr:spPr>
    </xdr:pic>
    <xdr:clientData/>
  </xdr:twoCellAnchor>
  <xdr:twoCellAnchor editAs="oneCell">
    <xdr:from>
      <xdr:col>8</xdr:col>
      <xdr:colOff>294285</xdr:colOff>
      <xdr:row>7</xdr:row>
      <xdr:rowOff>115140</xdr:rowOff>
    </xdr:from>
    <xdr:to>
      <xdr:col>8</xdr:col>
      <xdr:colOff>295365</xdr:colOff>
      <xdr:row>7</xdr:row>
      <xdr:rowOff>134580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="" xmlns:a16="http://schemas.microsoft.com/office/drawing/2014/main" id="{4C9BF021-C7C7-4B1D-92D9-FD5A242B4A3A}"/>
                </a:ext>
              </a:extLst>
            </xdr14:cNvPr>
            <xdr14:cNvContentPartPr/>
          </xdr14:nvContentPartPr>
          <xdr14:nvPr macro=""/>
          <xdr14:xfrm>
            <a:off x="5542560" y="1448640"/>
            <a:ext cx="1080" cy="19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C9BF021-C7C7-4B1D-92D9-FD5A242B4A3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536440" y="1442520"/>
              <a:ext cx="13320" cy="31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257175</xdr:colOff>
      <xdr:row>3</xdr:row>
      <xdr:rowOff>76200</xdr:rowOff>
    </xdr:from>
    <xdr:ext cx="2628900" cy="1066800"/>
    <xdr:sp macro="" textlink="">
      <xdr:nvSpPr>
        <xdr:cNvPr id="4" name="Shape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4031550" y="3246600"/>
          <a:ext cx="2628900" cy="10668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Functions: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Upper, Lower, Proper, Left, Right, Mid, Len,Trim, Find, Search, Substitute, Replace, Concatenate</a:t>
          </a:r>
          <a:endParaRPr sz="1100"/>
        </a:p>
      </xdr:txBody>
    </xdr:sp>
    <xdr:clientData fLocksWithSheet="0"/>
  </xdr:oneCellAnchor>
  <xdr:twoCellAnchor editAs="oneCell">
    <xdr:from>
      <xdr:col>7</xdr:col>
      <xdr:colOff>303158</xdr:colOff>
      <xdr:row>2</xdr:row>
      <xdr:rowOff>182308</xdr:rowOff>
    </xdr:from>
    <xdr:to>
      <xdr:col>7</xdr:col>
      <xdr:colOff>320348</xdr:colOff>
      <xdr:row>3</xdr:row>
      <xdr:rowOff>3452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="" xmlns:a16="http://schemas.microsoft.com/office/drawing/2014/main" id="{6DA822AE-8815-CE13-6256-1E7AA56BB343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906895</xdr:colOff>
      <xdr:row>12</xdr:row>
      <xdr:rowOff>187270</xdr:rowOff>
    </xdr:from>
    <xdr:to>
      <xdr:col>6</xdr:col>
      <xdr:colOff>908440</xdr:colOff>
      <xdr:row>13</xdr:row>
      <xdr:rowOff>4912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="" xmlns:a16="http://schemas.microsoft.com/office/drawing/2014/main" id="{3A41D5B0-B51D-C432-63BC-4D1B12435B3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906895</xdr:colOff>
      <xdr:row>13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="" xmlns:a16="http://schemas.microsoft.com/office/drawing/2014/main" id="{E3B07F23-6E73-45CD-8D70-DC76C265F96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3B07F23-6E73-45CD-8D70-DC76C265F96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="" xmlns:a16="http://schemas.microsoft.com/office/drawing/2014/main" id="{651B8A66-2C4A-4030-A6C5-AE98DC1233F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51B8A66-2C4A-4030-A6C5-AE98DC1233F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="" xmlns:a16="http://schemas.microsoft.com/office/drawing/2014/main" id="{0F2E274E-071E-4F20-B12B-A95D45D5509F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F2E274E-071E-4F20-B12B-A95D45D5509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="" xmlns:a16="http://schemas.microsoft.com/office/drawing/2014/main" id="{F535FD51-19EE-4BA1-9615-61F09CA61578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F535FD51-19EE-4BA1-9615-61F09CA6157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="" xmlns:a16="http://schemas.microsoft.com/office/drawing/2014/main" id="{3B85533E-2CC0-49DB-87E0-4F4E91F64015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3B85533E-2CC0-49DB-87E0-4F4E91F6401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Ink 9">
              <a:extLst>
                <a:ext uri="{FF2B5EF4-FFF2-40B4-BE49-F238E27FC236}">
                  <a16:creationId xmlns="" xmlns:a16="http://schemas.microsoft.com/office/drawing/2014/main" id="{69709535-2FEE-47CF-9FEC-2DD6A6E4EE6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9709535-2FEE-47CF-9FEC-2DD6A6E4EE6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="" xmlns:a16="http://schemas.microsoft.com/office/drawing/2014/main" id="{B32F0127-1919-4510-AD88-E24E98554BD0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B32F0127-1919-4510-AD88-E24E98554BD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13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="" xmlns:a16="http://schemas.microsoft.com/office/drawing/2014/main" id="{FCC1386F-9CFE-4F87-BC32-88C21ECE715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CC1386F-9CFE-4F87-BC32-88C21ECE71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Ink 12">
              <a:extLst>
                <a:ext uri="{FF2B5EF4-FFF2-40B4-BE49-F238E27FC236}">
                  <a16:creationId xmlns="" xmlns:a16="http://schemas.microsoft.com/office/drawing/2014/main" id="{03CB8BBF-3D3E-4A79-BEC9-166A28DE3E2F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03CB8BBF-3D3E-4A79-BEC9-166A28DE3E2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="" xmlns:a16="http://schemas.microsoft.com/office/drawing/2014/main" id="{D5E85E2E-9575-422B-B9BB-1F1BD108DA4C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D5E85E2E-9575-422B-B9BB-1F1BD108DA4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5" name="Ink 14">
              <a:extLst>
                <a:ext uri="{FF2B5EF4-FFF2-40B4-BE49-F238E27FC236}">
                  <a16:creationId xmlns="" xmlns:a16="http://schemas.microsoft.com/office/drawing/2014/main" id="{4F5F1794-52DA-4682-B9CD-600B7C97F87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4F5F1794-52DA-4682-B9CD-600B7C97F8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" name="Ink 15">
              <a:extLst>
                <a:ext uri="{FF2B5EF4-FFF2-40B4-BE49-F238E27FC236}">
                  <a16:creationId xmlns="" xmlns:a16="http://schemas.microsoft.com/office/drawing/2014/main" id="{97A3C2DF-5B5F-4CD4-9DA6-A0B6A92F879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7A3C2DF-5B5F-4CD4-9DA6-A0B6A92F879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7" name="Ink 16">
              <a:extLst>
                <a:ext uri="{FF2B5EF4-FFF2-40B4-BE49-F238E27FC236}">
                  <a16:creationId xmlns="" xmlns:a16="http://schemas.microsoft.com/office/drawing/2014/main" id="{54B351CF-293C-4693-B19A-0AA0192A350C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4B351CF-293C-4693-B19A-0AA0192A35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Ink 17">
              <a:extLst>
                <a:ext uri="{FF2B5EF4-FFF2-40B4-BE49-F238E27FC236}">
                  <a16:creationId xmlns="" xmlns:a16="http://schemas.microsoft.com/office/drawing/2014/main" id="{2B7A642D-968E-4DCC-91D1-DF63006DB3E2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2B7A642D-968E-4DCC-91D1-DF63006DB3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8</xdr:col>
      <xdr:colOff>375545</xdr:colOff>
      <xdr:row>2</xdr:row>
      <xdr:rowOff>165122</xdr:rowOff>
    </xdr:from>
    <xdr:to>
      <xdr:col>8</xdr:col>
      <xdr:colOff>377090</xdr:colOff>
      <xdr:row>2</xdr:row>
      <xdr:rowOff>169292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9" name="Ink 18">
              <a:extLst>
                <a:ext uri="{FF2B5EF4-FFF2-40B4-BE49-F238E27FC236}">
                  <a16:creationId xmlns="" xmlns:a16="http://schemas.microsoft.com/office/drawing/2014/main" id="{0652B3B0-03B7-A099-5956-E3691594032C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652B3B0-03B7-A099-5956-E3691594032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303158</xdr:colOff>
      <xdr:row>3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Ink 19">
              <a:extLst>
                <a:ext uri="{FF2B5EF4-FFF2-40B4-BE49-F238E27FC236}">
                  <a16:creationId xmlns="" xmlns:a16="http://schemas.microsoft.com/office/drawing/2014/main" id="{FE29F2F3-6301-489B-A4E9-B6ACE47209D0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4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Ink 20">
              <a:extLst>
                <a:ext uri="{FF2B5EF4-FFF2-40B4-BE49-F238E27FC236}">
                  <a16:creationId xmlns="" xmlns:a16="http://schemas.microsoft.com/office/drawing/2014/main" id="{79769302-6623-450B-85FB-25FC0523A358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5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Ink 21">
              <a:extLst>
                <a:ext uri="{FF2B5EF4-FFF2-40B4-BE49-F238E27FC236}">
                  <a16:creationId xmlns="" xmlns:a16="http://schemas.microsoft.com/office/drawing/2014/main" id="{C53BB4A2-29EB-41D4-B678-D60ABD3FAE79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6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Ink 22">
              <a:extLst>
                <a:ext uri="{FF2B5EF4-FFF2-40B4-BE49-F238E27FC236}">
                  <a16:creationId xmlns="" xmlns:a16="http://schemas.microsoft.com/office/drawing/2014/main" id="{4CB7ACA1-C0D9-4276-A41B-23CA007342BC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7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Ink 23">
              <a:extLst>
                <a:ext uri="{FF2B5EF4-FFF2-40B4-BE49-F238E27FC236}">
                  <a16:creationId xmlns="" xmlns:a16="http://schemas.microsoft.com/office/drawing/2014/main" id="{6AD9BEA7-B2FD-40F8-8D08-9801083E0A45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8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Ink 24">
              <a:extLst>
                <a:ext uri="{FF2B5EF4-FFF2-40B4-BE49-F238E27FC236}">
                  <a16:creationId xmlns="" xmlns:a16="http://schemas.microsoft.com/office/drawing/2014/main" id="{9E1006A4-B2CF-435E-B5A9-7D56ACC88C9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9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Ink 25">
              <a:extLst>
                <a:ext uri="{FF2B5EF4-FFF2-40B4-BE49-F238E27FC236}">
                  <a16:creationId xmlns="" xmlns:a16="http://schemas.microsoft.com/office/drawing/2014/main" id="{F5BFEBEA-75B6-4F68-8BE5-FBD317E20B1A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3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Ink 26">
              <a:extLst>
                <a:ext uri="{FF2B5EF4-FFF2-40B4-BE49-F238E27FC236}">
                  <a16:creationId xmlns="" xmlns:a16="http://schemas.microsoft.com/office/drawing/2014/main" id="{29756C78-CAA3-43AB-B04A-76A9AA571BA1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9756C78-CAA3-43AB-B04A-76A9AA571BA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4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Ink 27">
              <a:extLst>
                <a:ext uri="{FF2B5EF4-FFF2-40B4-BE49-F238E27FC236}">
                  <a16:creationId xmlns="" xmlns:a16="http://schemas.microsoft.com/office/drawing/2014/main" id="{D329B567-239A-4863-BC4B-CCB606644555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329B567-239A-4863-BC4B-CCB60664455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5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Ink 28">
              <a:extLst>
                <a:ext uri="{FF2B5EF4-FFF2-40B4-BE49-F238E27FC236}">
                  <a16:creationId xmlns="" xmlns:a16="http://schemas.microsoft.com/office/drawing/2014/main" id="{7D09D4C3-AB53-430C-A99E-829C9A8ED75F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D09D4C3-AB53-430C-A99E-829C9A8ED75F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6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Ink 29">
              <a:extLst>
                <a:ext uri="{FF2B5EF4-FFF2-40B4-BE49-F238E27FC236}">
                  <a16:creationId xmlns="" xmlns:a16="http://schemas.microsoft.com/office/drawing/2014/main" id="{7DCCC6D3-D02F-43B1-B98C-2C3FC1CCF1A7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DCCC6D3-D02F-43B1-B98C-2C3FC1CCF1A7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7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Ink 30">
              <a:extLst>
                <a:ext uri="{FF2B5EF4-FFF2-40B4-BE49-F238E27FC236}">
                  <a16:creationId xmlns="" xmlns:a16="http://schemas.microsoft.com/office/drawing/2014/main" id="{DB504588-E83E-48DE-96E5-D49A9AD5D3D4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B504588-E83E-48DE-96E5-D49A9AD5D3D4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8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Ink 31">
              <a:extLst>
                <a:ext uri="{FF2B5EF4-FFF2-40B4-BE49-F238E27FC236}">
                  <a16:creationId xmlns="" xmlns:a16="http://schemas.microsoft.com/office/drawing/2014/main" id="{F6F3449C-1B6A-4DB2-A921-46A86D7B91E2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F6F3449C-1B6A-4DB2-A921-46A86D7B91E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9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Ink 32">
              <a:extLst>
                <a:ext uri="{FF2B5EF4-FFF2-40B4-BE49-F238E27FC236}">
                  <a16:creationId xmlns="" xmlns:a16="http://schemas.microsoft.com/office/drawing/2014/main" id="{55F4AF9A-C7EE-4FA6-9887-43C43D4795D0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55F4AF9A-C7EE-4FA6-9887-43C43D4795D0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871545</xdr:colOff>
      <xdr:row>13</xdr:row>
      <xdr:rowOff>78124</xdr:rowOff>
    </xdr:from>
    <xdr:to>
      <xdr:col>6</xdr:col>
      <xdr:colOff>892695</xdr:colOff>
      <xdr:row>13</xdr:row>
      <xdr:rowOff>133939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Ink 33">
              <a:extLst>
                <a:ext uri="{FF2B5EF4-FFF2-40B4-BE49-F238E27FC236}">
                  <a16:creationId xmlns="" xmlns:a16="http://schemas.microsoft.com/office/drawing/2014/main" id="{DF481A5B-E6E3-9664-FB0E-A8FC90F3906E}"/>
                </a:ext>
              </a:extLst>
            </xdr14:cNvPr>
            <xdr14:cNvContentPartPr/>
          </xdr14:nvContentPartPr>
          <xdr14:nvPr macro=""/>
          <xdr14:xfrm>
            <a:off x="9474771" y="2628366"/>
            <a:ext cx="9720" cy="424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DF481A5B-E6E3-9664-FB0E-A8FC90F3906E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468651" y="2622246"/>
              <a:ext cx="2196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1376321</xdr:colOff>
      <xdr:row>14</xdr:row>
      <xdr:rowOff>146642</xdr:rowOff>
    </xdr:from>
    <xdr:to>
      <xdr:col>4</xdr:col>
      <xdr:colOff>1388366</xdr:colOff>
      <xdr:row>14</xdr:row>
      <xdr:rowOff>148442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5" name="Ink 34">
              <a:extLst>
                <a:ext uri="{FF2B5EF4-FFF2-40B4-BE49-F238E27FC236}">
                  <a16:creationId xmlns="" xmlns:a16="http://schemas.microsoft.com/office/drawing/2014/main" id="{C311E87F-E9F7-FE13-6485-18BE3BCE2226}"/>
                </a:ext>
              </a:extLst>
            </xdr14:cNvPr>
            <xdr14:cNvContentPartPr/>
          </xdr14:nvContentPartPr>
          <xdr14:nvPr macro=""/>
          <xdr14:xfrm>
            <a:off x="8056959" y="2826780"/>
            <a:ext cx="2520" cy="18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C311E87F-E9F7-FE13-6485-18BE3BCE222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047959" y="2817780"/>
              <a:ext cx="2016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186858</xdr:colOff>
      <xdr:row>14</xdr:row>
      <xdr:rowOff>89402</xdr:rowOff>
    </xdr:from>
    <xdr:to>
      <xdr:col>5</xdr:col>
      <xdr:colOff>187218</xdr:colOff>
      <xdr:row>14</xdr:row>
      <xdr:rowOff>97382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6" name="Ink 35">
              <a:extLst>
                <a:ext uri="{FF2B5EF4-FFF2-40B4-BE49-F238E27FC236}">
                  <a16:creationId xmlns="" xmlns:a16="http://schemas.microsoft.com/office/drawing/2014/main" id="{0D295DE8-3DE1-1B52-302D-CA1FB4E85F06}"/>
                </a:ext>
              </a:extLst>
            </xdr14:cNvPr>
            <xdr14:cNvContentPartPr/>
          </xdr14:nvContentPartPr>
          <xdr14:nvPr macro=""/>
          <xdr14:xfrm>
            <a:off x="8437479" y="2769540"/>
            <a:ext cx="360" cy="3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0D295DE8-3DE1-1B52-302D-CA1FB4E85F0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428479" y="27605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303158</xdr:colOff>
      <xdr:row>3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7" name="Ink 36">
              <a:extLst>
                <a:ext uri="{FF2B5EF4-FFF2-40B4-BE49-F238E27FC236}">
                  <a16:creationId xmlns="" xmlns:a16="http://schemas.microsoft.com/office/drawing/2014/main" id="{79ADFEDC-5C2B-4DD6-ADEC-7F2071E40859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4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8" name="Ink 37">
              <a:extLst>
                <a:ext uri="{FF2B5EF4-FFF2-40B4-BE49-F238E27FC236}">
                  <a16:creationId xmlns="" xmlns:a16="http://schemas.microsoft.com/office/drawing/2014/main" id="{3DD4835C-F131-4CB4-B519-C95A2FB378A7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5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39" name="Ink 38">
              <a:extLst>
                <a:ext uri="{FF2B5EF4-FFF2-40B4-BE49-F238E27FC236}">
                  <a16:creationId xmlns="" xmlns:a16="http://schemas.microsoft.com/office/drawing/2014/main" id="{D3C032E6-B5E1-44E4-833D-153352F7D9E8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6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0" name="Ink 39">
              <a:extLst>
                <a:ext uri="{FF2B5EF4-FFF2-40B4-BE49-F238E27FC236}">
                  <a16:creationId xmlns="" xmlns:a16="http://schemas.microsoft.com/office/drawing/2014/main" id="{E068EB75-3AA7-4689-ABD2-788A634F075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7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1" name="Ink 40">
              <a:extLst>
                <a:ext uri="{FF2B5EF4-FFF2-40B4-BE49-F238E27FC236}">
                  <a16:creationId xmlns="" xmlns:a16="http://schemas.microsoft.com/office/drawing/2014/main" id="{FB4CAA73-C9CB-490A-B7E9-C9DA6C24114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8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2" name="Ink 41">
              <a:extLst>
                <a:ext uri="{FF2B5EF4-FFF2-40B4-BE49-F238E27FC236}">
                  <a16:creationId xmlns="" xmlns:a16="http://schemas.microsoft.com/office/drawing/2014/main" id="{EEB713C2-0CFA-4DF2-B890-95081DB6328E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9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3" name="Ink 42">
              <a:extLst>
                <a:ext uri="{FF2B5EF4-FFF2-40B4-BE49-F238E27FC236}">
                  <a16:creationId xmlns="" xmlns:a16="http://schemas.microsoft.com/office/drawing/2014/main" id="{EB9F2773-86A1-4D86-8F19-A50A7278BEE7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13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4" name="Ink 43">
              <a:extLst>
                <a:ext uri="{FF2B5EF4-FFF2-40B4-BE49-F238E27FC236}">
                  <a16:creationId xmlns="" xmlns:a16="http://schemas.microsoft.com/office/drawing/2014/main" id="{4424EF28-6F40-4EB1-A855-165BDC795A2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5" name="Ink 44">
              <a:extLst>
                <a:ext uri="{FF2B5EF4-FFF2-40B4-BE49-F238E27FC236}">
                  <a16:creationId xmlns="" xmlns:a16="http://schemas.microsoft.com/office/drawing/2014/main" id="{10DD10D0-E69E-4173-8FA0-68E6BC3C3165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6" name="Ink 45">
              <a:extLst>
                <a:ext uri="{FF2B5EF4-FFF2-40B4-BE49-F238E27FC236}">
                  <a16:creationId xmlns="" xmlns:a16="http://schemas.microsoft.com/office/drawing/2014/main" id="{144BBC38-7CB6-49C6-B569-CEAFE6E5A351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7" name="Ink 46">
              <a:extLst>
                <a:ext uri="{FF2B5EF4-FFF2-40B4-BE49-F238E27FC236}">
                  <a16:creationId xmlns="" xmlns:a16="http://schemas.microsoft.com/office/drawing/2014/main" id="{D0733FF7-1EF0-4B4A-849B-2EC7DA51679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48" name="Ink 47">
              <a:extLst>
                <a:ext uri="{FF2B5EF4-FFF2-40B4-BE49-F238E27FC236}">
                  <a16:creationId xmlns="" xmlns:a16="http://schemas.microsoft.com/office/drawing/2014/main" id="{0AC3FE80-BBFD-451C-9377-B494F2A71FC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49" name="Ink 48">
              <a:extLst>
                <a:ext uri="{FF2B5EF4-FFF2-40B4-BE49-F238E27FC236}">
                  <a16:creationId xmlns="" xmlns:a16="http://schemas.microsoft.com/office/drawing/2014/main" id="{B86C4F4C-175F-462C-9162-DFBA557F1DEA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0" name="Ink 49">
              <a:extLst>
                <a:ext uri="{FF2B5EF4-FFF2-40B4-BE49-F238E27FC236}">
                  <a16:creationId xmlns="" xmlns:a16="http://schemas.microsoft.com/office/drawing/2014/main" id="{BFF70D3C-BF45-462B-9F1F-0FAF37FF79E2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9709535-2FEE-47CF-9FEC-2DD6A6E4EE6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1" name="Ink 50">
              <a:extLst>
                <a:ext uri="{FF2B5EF4-FFF2-40B4-BE49-F238E27FC236}">
                  <a16:creationId xmlns="" xmlns:a16="http://schemas.microsoft.com/office/drawing/2014/main" id="{F0395C96-BE67-4F30-AF87-FC15FD35B3C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4B351CF-293C-4693-B19A-0AA0192A35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2" name="Ink 51">
              <a:extLst>
                <a:ext uri="{FF2B5EF4-FFF2-40B4-BE49-F238E27FC236}">
                  <a16:creationId xmlns="" xmlns:a16="http://schemas.microsoft.com/office/drawing/2014/main" id="{6AEB49C7-BF63-4761-9477-8E813BB61DB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3" name="Ink 52">
              <a:extLst>
                <a:ext uri="{FF2B5EF4-FFF2-40B4-BE49-F238E27FC236}">
                  <a16:creationId xmlns="" xmlns:a16="http://schemas.microsoft.com/office/drawing/2014/main" id="{38026366-4EDA-4AD5-AD23-4AC5D91DB95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13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4" name="Ink 53">
              <a:extLst>
                <a:ext uri="{FF2B5EF4-FFF2-40B4-BE49-F238E27FC236}">
                  <a16:creationId xmlns="" xmlns:a16="http://schemas.microsoft.com/office/drawing/2014/main" id="{B452D58D-FB24-4B5A-B9BD-9955032012FB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5" name="Ink 54">
              <a:extLst>
                <a:ext uri="{FF2B5EF4-FFF2-40B4-BE49-F238E27FC236}">
                  <a16:creationId xmlns="" xmlns:a16="http://schemas.microsoft.com/office/drawing/2014/main" id="{0A3E942B-5F5E-4697-9517-59AECDD6B56A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6" name="Ink 55">
              <a:extLst>
                <a:ext uri="{FF2B5EF4-FFF2-40B4-BE49-F238E27FC236}">
                  <a16:creationId xmlns="" xmlns:a16="http://schemas.microsoft.com/office/drawing/2014/main" id="{A3735DD8-0F7D-48A8-8C90-42224BB047AB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7" name="Ink 56">
              <a:extLst>
                <a:ext uri="{FF2B5EF4-FFF2-40B4-BE49-F238E27FC236}">
                  <a16:creationId xmlns="" xmlns:a16="http://schemas.microsoft.com/office/drawing/2014/main" id="{C7432AB5-F622-4FCD-A51D-C8EADAD89559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58" name="Ink 57">
              <a:extLst>
                <a:ext uri="{FF2B5EF4-FFF2-40B4-BE49-F238E27FC236}">
                  <a16:creationId xmlns="" xmlns:a16="http://schemas.microsoft.com/office/drawing/2014/main" id="{B4F18A2D-2D4B-4ADF-812A-C9EF485EC45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59" name="Ink 58">
              <a:extLst>
                <a:ext uri="{FF2B5EF4-FFF2-40B4-BE49-F238E27FC236}">
                  <a16:creationId xmlns="" xmlns:a16="http://schemas.microsoft.com/office/drawing/2014/main" id="{7DA9DE1B-D09A-48F4-B5D1-DA7D80A6341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0" name="Ink 59">
              <a:extLst>
                <a:ext uri="{FF2B5EF4-FFF2-40B4-BE49-F238E27FC236}">
                  <a16:creationId xmlns="" xmlns:a16="http://schemas.microsoft.com/office/drawing/2014/main" id="{0E680498-A8C7-4777-9F2C-B7F4A3CA5201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247650</xdr:colOff>
      <xdr:row>0</xdr:row>
      <xdr:rowOff>523875</xdr:rowOff>
    </xdr:from>
    <xdr:ext cx="2895600" cy="838200"/>
    <xdr:sp macro="" textlink="">
      <xdr:nvSpPr>
        <xdr:cNvPr id="6" name="Shape 6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3902963" y="3360900"/>
          <a:ext cx="2886075" cy="8382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Comparitive Operators :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rgbClr val="0070C0"/>
              </a:solidFill>
              <a:latin typeface="Calibri"/>
              <a:ea typeface="Calibri"/>
              <a:cs typeface="Calibri"/>
              <a:sym typeface="Calibri"/>
            </a:rPr>
            <a:t>=, &gt;,&lt;, &gt;=, &lt;=, &lt;&gt;</a:t>
          </a:r>
          <a:endParaRPr sz="2000">
            <a:solidFill>
              <a:srgbClr val="0070C0"/>
            </a:solidFill>
          </a:endParaRPr>
        </a:p>
      </xdr:txBody>
    </xdr:sp>
    <xdr:clientData fLocksWithSheet="0"/>
  </xdr:oneCellAnchor>
  <xdr:oneCellAnchor>
    <xdr:from>
      <xdr:col>11</xdr:col>
      <xdr:colOff>381000</xdr:colOff>
      <xdr:row>5</xdr:row>
      <xdr:rowOff>57150</xdr:rowOff>
    </xdr:from>
    <xdr:ext cx="2952750" cy="1247775"/>
    <xdr:sp macro="" textlink="">
      <xdr:nvSpPr>
        <xdr:cNvPr id="7" name="Shape 7"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3874388" y="3160875"/>
          <a:ext cx="2943225" cy="12382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1) Insert serial number column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2) Use comparitive operators and fill all the columns with boolean values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3) Highlight all the true values using conditional formating</a:t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9526</xdr:colOff>
      <xdr:row>86</xdr:row>
      <xdr:rowOff>19051</xdr:rowOff>
    </xdr:from>
    <xdr:to>
      <xdr:col>12</xdr:col>
      <xdr:colOff>9525</xdr:colOff>
      <xdr:row>90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CE4F412C-9E68-4F4C-A09D-9C9A5CE092FB}"/>
            </a:ext>
          </a:extLst>
        </xdr:cNvPr>
        <xdr:cNvSpPr txBox="1"/>
      </xdr:nvSpPr>
      <xdr:spPr>
        <a:xfrm>
          <a:off x="2120266" y="15960091"/>
          <a:ext cx="7040879" cy="8934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en-US"/>
            <a:t>Searches for a value in the top row of a table or an array</a:t>
          </a:r>
          <a:r>
            <a:rPr lang="en-US">
              <a:effectLst/>
            </a:rPr>
            <a:t> </a:t>
          </a:r>
          <a:r>
            <a:rPr lang="en-US"/>
            <a:t> of values, and then returns a value in the same column from a row you specify in the table or array. Use HLOOKUP when your comparison values are located in a row across the top of a table of data, and you want to look down a specified number of rows. Use VLOOKUP when your comparison values are located in a column to the left of the data you want to find.</a:t>
          </a:r>
        </a:p>
        <a:p>
          <a:pPr algn="just"/>
          <a:r>
            <a:rPr lang="en-US"/>
            <a:t>The H in HLOOKUP stands for "Horizontal."</a:t>
          </a:r>
        </a:p>
        <a:p>
          <a:endParaRPr lang="en-US" sz="1100"/>
        </a:p>
      </xdr:txBody>
    </xdr:sp>
    <xdr:clientData/>
  </xdr:twoCellAnchor>
  <xdr:twoCellAnchor>
    <xdr:from>
      <xdr:col>2</xdr:col>
      <xdr:colOff>9524</xdr:colOff>
      <xdr:row>98</xdr:row>
      <xdr:rowOff>180975</xdr:rowOff>
    </xdr:from>
    <xdr:to>
      <xdr:col>11</xdr:col>
      <xdr:colOff>609599</xdr:colOff>
      <xdr:row>101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A9E74F80-6181-47F6-B76E-6F24747404F8}"/>
            </a:ext>
          </a:extLst>
        </xdr:cNvPr>
        <xdr:cNvSpPr txBox="1"/>
      </xdr:nvSpPr>
      <xdr:spPr>
        <a:xfrm>
          <a:off x="2120264" y="18316575"/>
          <a:ext cx="7031355" cy="5200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You can use the </a:t>
          </a:r>
          <a:r>
            <a:rPr lang="en-US" b="1"/>
            <a:t>VLOOKUP</a:t>
          </a:r>
          <a:r>
            <a:rPr lang="en-US"/>
            <a:t> function to search the first column of a range</a:t>
          </a:r>
          <a:r>
            <a:rPr lang="en-US">
              <a:effectLst/>
            </a:rPr>
            <a:t> </a:t>
          </a:r>
          <a:r>
            <a:rPr lang="en-US"/>
            <a:t> of cells, and then return a value from any cell on the same row of the range. </a:t>
          </a:r>
          <a:endParaRPr lang="en-US" sz="1100"/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25:25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9514,'0'0'6009,"2"11"-5881,-2-4-128,0 5-136,0 1-1440,0-2-5682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45:05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0 3729,'0'0'7705,"-32"9"-7705,23-5-920,3-2-2032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2:53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11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3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3T06:55:56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7:19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18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18:20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05T06:29:33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 0 2353,'0'0'32,"-58"91"-1825,64-28 1201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8:20.4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 0,'32'-4'30599,"-54"4"-30819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8:20.8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0 632,'0'0'2441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29:59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02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23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23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23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47:23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05T04:51:37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6:M1000"/>
  <sheetViews>
    <sheetView zoomScale="111" workbookViewId="0">
      <selection activeCell="A11" sqref="A11"/>
    </sheetView>
  </sheetViews>
  <sheetFormatPr defaultColWidth="14.453125" defaultRowHeight="15" customHeight="1"/>
  <cols>
    <col min="1" max="1" width="25" customWidth="1"/>
    <col min="2" max="2" width="14.54296875" customWidth="1"/>
    <col min="3" max="3" width="17.08984375" customWidth="1"/>
    <col min="4" max="4" width="8.08984375" customWidth="1"/>
    <col min="5" max="5" width="9.36328125" customWidth="1"/>
    <col min="6" max="26" width="15.6328125" customWidth="1"/>
  </cols>
  <sheetData>
    <row r="6" spans="3:13" ht="14.5">
      <c r="C6" s="1"/>
    </row>
    <row r="12" spans="3:13" ht="14.5">
      <c r="J12" s="2"/>
      <c r="M1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6BAD8CE-1DBC-44C9-B316-806B0B5B5BBC}">
      <selection activeCell="G22" sqref="G22"/>
      <pageMargins left="0.7" right="0.7" top="0.75" bottom="0.75" header="0" footer="0"/>
      <pageSetup paperSize="9" orientation="portrait"/>
    </customSheetView>
    <customSheetView guid="{586EE853-6E53-4973-9818-E4AB447301FE}">
      <selection activeCell="G22" sqref="G22"/>
      <pageMargins left="0.7" right="0.7" top="0.75" bottom="0.75" header="0" footer="0"/>
      <pageSetup paperSize="9" orientation="portrait"/>
    </customSheetView>
  </customSheetView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10"/>
  <sheetViews>
    <sheetView zoomScale="92" workbookViewId="0">
      <selection activeCell="I21" sqref="I21"/>
    </sheetView>
  </sheetViews>
  <sheetFormatPr defaultRowHeight="14.5"/>
  <cols>
    <col min="1" max="1" width="14.6328125" customWidth="1"/>
  </cols>
  <sheetData>
    <row r="1" spans="1:2">
      <c r="A1" s="47" t="s">
        <v>84</v>
      </c>
      <c r="B1" s="46" t="s">
        <v>85</v>
      </c>
    </row>
    <row r="2" spans="1:2">
      <c r="A2" s="47" t="s">
        <v>86</v>
      </c>
      <c r="B2" s="46" t="s">
        <v>87</v>
      </c>
    </row>
    <row r="3" spans="1:2">
      <c r="A3" s="47" t="s">
        <v>88</v>
      </c>
      <c r="B3" s="46" t="s">
        <v>89</v>
      </c>
    </row>
    <row r="4" spans="1:2">
      <c r="B4" s="46"/>
    </row>
    <row r="5" spans="1:2">
      <c r="A5" s="48" t="s">
        <v>90</v>
      </c>
      <c r="B5" s="46"/>
    </row>
    <row r="6" spans="1:2">
      <c r="A6" s="48" t="s">
        <v>91</v>
      </c>
      <c r="B6" s="46"/>
    </row>
    <row r="7" spans="1:2">
      <c r="B7" s="46"/>
    </row>
    <row r="8" spans="1:2">
      <c r="B8" s="46"/>
    </row>
    <row r="9" spans="1:2">
      <c r="A9" s="48" t="s">
        <v>92</v>
      </c>
      <c r="B9" s="46" t="s">
        <v>93</v>
      </c>
    </row>
    <row r="10" spans="1:2">
      <c r="A10" s="48" t="s">
        <v>94</v>
      </c>
      <c r="B10" s="46" t="s">
        <v>95</v>
      </c>
    </row>
  </sheetData>
  <customSheetViews>
    <customSheetView guid="{06BAD8CE-1DBC-44C9-B316-806B0B5B5BBC}">
      <selection activeCell="F7" sqref="F7"/>
      <pageMargins left="0.7" right="0.7" top="0.75" bottom="0.75" header="0.3" footer="0.3"/>
    </customSheetView>
    <customSheetView guid="{586EE853-6E53-4973-9818-E4AB447301FE}">
      <selection activeCell="F7" sqref="F7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M1000"/>
  <sheetViews>
    <sheetView topLeftCell="B46" zoomScale="110" zoomScaleNormal="110" workbookViewId="0">
      <selection activeCell="G13" sqref="G13:G20"/>
    </sheetView>
  </sheetViews>
  <sheetFormatPr defaultColWidth="14.453125" defaultRowHeight="15" customHeight="1"/>
  <cols>
    <col min="1" max="1" width="8.6328125" customWidth="1"/>
    <col min="2" max="2" width="35" bestFit="1" customWidth="1"/>
    <col min="3" max="3" width="36.54296875" customWidth="1"/>
    <col min="4" max="4" width="17.36328125" customWidth="1"/>
    <col min="5" max="5" width="22.90625" customWidth="1"/>
    <col min="6" max="6" width="27" customWidth="1"/>
    <col min="7" max="7" width="22" bestFit="1" customWidth="1"/>
    <col min="8" max="8" width="13.453125" customWidth="1"/>
    <col min="9" max="9" width="10.90625" customWidth="1"/>
    <col min="10" max="12" width="8.6328125" customWidth="1"/>
    <col min="13" max="13" width="43.1796875" customWidth="1"/>
    <col min="14" max="26" width="8.6328125" customWidth="1"/>
  </cols>
  <sheetData>
    <row r="2" spans="2:9" ht="18.5"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spans="2:9" ht="14.5">
      <c r="B3" s="6" t="s">
        <v>327</v>
      </c>
      <c r="C3" s="7" t="str">
        <f>UPPER(B3)</f>
        <v>NIKE SHOES</v>
      </c>
      <c r="D3" s="7" t="str">
        <f>LOWER(B3)</f>
        <v>nike shoes</v>
      </c>
      <c r="E3" s="7" t="str">
        <f>PROPER(B3)</f>
        <v>Nike Shoes</v>
      </c>
      <c r="F3" s="7"/>
      <c r="G3" s="7"/>
      <c r="H3" s="7"/>
      <c r="I3" s="8"/>
    </row>
    <row r="4" spans="2:9" ht="14.5">
      <c r="B4" s="6" t="s">
        <v>317</v>
      </c>
      <c r="C4" s="7" t="str">
        <f t="shared" ref="C4:C10" si="0">UPPER(B4)</f>
        <v>APPLE IPHONE</v>
      </c>
      <c r="D4" s="7" t="str">
        <f t="shared" ref="D4:D10" si="1">LOWER(B4)</f>
        <v>apple iphone</v>
      </c>
      <c r="E4" s="7" t="str">
        <f t="shared" ref="E4:E10" si="2">PROPER(B4)</f>
        <v>Apple Iphone</v>
      </c>
      <c r="F4" s="7"/>
      <c r="G4" s="7"/>
      <c r="H4" s="7"/>
      <c r="I4" s="8"/>
    </row>
    <row r="5" spans="2:9" ht="14.5">
      <c r="B5" s="6" t="s">
        <v>328</v>
      </c>
      <c r="C5" s="7" t="str">
        <f t="shared" si="0"/>
        <v>BOAT AIRPODS</v>
      </c>
      <c r="D5" s="7" t="str">
        <f t="shared" si="1"/>
        <v>boat airpods</v>
      </c>
      <c r="E5" s="7" t="str">
        <f t="shared" si="2"/>
        <v>Boat Airpods</v>
      </c>
      <c r="F5" s="7"/>
      <c r="G5" s="7"/>
      <c r="H5" s="7"/>
      <c r="I5" s="8"/>
    </row>
    <row r="6" spans="2:9" ht="14.5">
      <c r="B6" s="6" t="s">
        <v>329</v>
      </c>
      <c r="C6" s="7" t="str">
        <f t="shared" si="0"/>
        <v>HP LAPTOP</v>
      </c>
      <c r="D6" s="7" t="str">
        <f t="shared" si="1"/>
        <v>hp laptop</v>
      </c>
      <c r="E6" s="7" t="str">
        <f t="shared" si="2"/>
        <v>Hp Laptop</v>
      </c>
      <c r="F6" s="7"/>
      <c r="G6" s="7"/>
      <c r="H6" s="7"/>
      <c r="I6" s="8"/>
    </row>
    <row r="7" spans="2:9" ht="14.5">
      <c r="B7" s="6" t="s">
        <v>330</v>
      </c>
      <c r="C7" s="7" t="str">
        <f t="shared" si="0"/>
        <v>SAMSUNG MOBILE</v>
      </c>
      <c r="D7" s="7" t="str">
        <f t="shared" si="1"/>
        <v>samsung mobile</v>
      </c>
      <c r="E7" s="7" t="str">
        <f t="shared" si="2"/>
        <v>Samsung Mobile</v>
      </c>
      <c r="F7" s="7"/>
      <c r="G7" s="7"/>
      <c r="H7" s="7"/>
      <c r="I7" s="8"/>
    </row>
    <row r="8" spans="2:9" ht="14.5">
      <c r="B8" s="6" t="s">
        <v>318</v>
      </c>
      <c r="C8" s="7" t="str">
        <f t="shared" si="0"/>
        <v>SONY CAMERA</v>
      </c>
      <c r="D8" s="7" t="str">
        <f t="shared" si="1"/>
        <v>sony camera</v>
      </c>
      <c r="E8" s="7" t="str">
        <f t="shared" si="2"/>
        <v>Sony Camera</v>
      </c>
      <c r="F8" s="7"/>
      <c r="G8" s="7"/>
      <c r="H8" s="7"/>
      <c r="I8" s="8"/>
    </row>
    <row r="9" spans="2:9" ht="14.5">
      <c r="B9" s="6" t="s">
        <v>331</v>
      </c>
      <c r="C9" s="7" t="str">
        <f t="shared" si="0"/>
        <v>PPUMA TSHIRT</v>
      </c>
      <c r="D9" s="7" t="str">
        <f t="shared" si="1"/>
        <v>ppuma tshirt</v>
      </c>
      <c r="E9" s="7" t="str">
        <f t="shared" si="2"/>
        <v>Ppuma Tshirt</v>
      </c>
      <c r="F9" s="7"/>
      <c r="G9" s="7"/>
      <c r="H9" s="7"/>
      <c r="I9" s="8"/>
    </row>
    <row r="10" spans="2:9" ht="14.5">
      <c r="B10" s="6" t="s">
        <v>319</v>
      </c>
      <c r="C10" s="7" t="str">
        <f t="shared" si="0"/>
        <v>DELL MONITO</v>
      </c>
      <c r="D10" s="7" t="str">
        <f t="shared" si="1"/>
        <v>dell monito</v>
      </c>
      <c r="E10" s="7" t="str">
        <f t="shared" si="2"/>
        <v>Dell Monito</v>
      </c>
      <c r="F10" s="7"/>
      <c r="G10" s="7"/>
      <c r="H10" s="7"/>
      <c r="I10" s="8"/>
    </row>
    <row r="12" spans="2:9" ht="18.5">
      <c r="B12" s="5" t="s">
        <v>1</v>
      </c>
      <c r="C12" s="5" t="s">
        <v>17</v>
      </c>
      <c r="D12" s="5" t="s">
        <v>313</v>
      </c>
      <c r="E12" s="5" t="s">
        <v>18</v>
      </c>
      <c r="F12" s="5" t="s">
        <v>19</v>
      </c>
      <c r="G12" s="5" t="s">
        <v>20</v>
      </c>
      <c r="H12" s="85" t="s">
        <v>314</v>
      </c>
      <c r="I12" s="85" t="s">
        <v>315</v>
      </c>
    </row>
    <row r="13" spans="2:9" ht="14.5">
      <c r="B13" s="6" t="s">
        <v>320</v>
      </c>
      <c r="C13" s="7" t="str">
        <f>TRIM(B13)</f>
        <v>Nike Shoes</v>
      </c>
      <c r="D13" s="7">
        <f>IFERROR(SEARCH("e",C13),"")</f>
        <v>4</v>
      </c>
      <c r="E13" s="7">
        <f>IFERROR(FIND("e",C13),"")</f>
        <v>4</v>
      </c>
      <c r="F13" s="7" t="str">
        <f>SUBSTITUTE(B13,"Shoes","Socks")</f>
        <v xml:space="preserve">Nike Socks    </v>
      </c>
      <c r="G13" s="7" t="str">
        <f>REPLACE(C13,1,4,"Deepraj")</f>
        <v>Deepraj Shoes</v>
      </c>
      <c r="H13">
        <f>LEN(B13)</f>
        <v>14</v>
      </c>
      <c r="I13">
        <f>LEN(C13)</f>
        <v>10</v>
      </c>
    </row>
    <row r="14" spans="2:9" ht="14.5">
      <c r="B14" s="6" t="s">
        <v>321</v>
      </c>
      <c r="C14" s="7" t="str">
        <f t="shared" ref="C14:C21" si="3">TRIM(B14)</f>
        <v>Apple iPhone</v>
      </c>
      <c r="D14" s="7">
        <f t="shared" ref="D14:D20" si="4">IFERROR(SEARCH("e",C14),"")</f>
        <v>5</v>
      </c>
      <c r="E14" s="7">
        <f t="shared" ref="E14:E20" si="5">IFERROR(FIND("e",C14),"")</f>
        <v>5</v>
      </c>
      <c r="F14" s="7" t="str">
        <f t="shared" ref="F14:F21" si="6">SUBSTITUTE(B14,"Shoes","Socks")</f>
        <v xml:space="preserve">    Apple iPhone</v>
      </c>
      <c r="G14" s="7" t="str">
        <f t="shared" ref="G14:G20" si="7">REPLACE(C14,1,4,"Deepraj")</f>
        <v>Deepraje iPhone</v>
      </c>
      <c r="H14">
        <f t="shared" ref="H14:H20" si="8">LEN(B14)</f>
        <v>16</v>
      </c>
      <c r="I14">
        <f t="shared" ref="I14:I20" si="9">LEN(C14)</f>
        <v>12</v>
      </c>
    </row>
    <row r="15" spans="2:9" ht="14.5">
      <c r="B15" s="6" t="s">
        <v>322</v>
      </c>
      <c r="C15" s="7" t="str">
        <f t="shared" si="3"/>
        <v>Boat Airpods</v>
      </c>
      <c r="D15" s="7" t="str">
        <f t="shared" si="4"/>
        <v/>
      </c>
      <c r="E15" s="7" t="str">
        <f t="shared" si="5"/>
        <v/>
      </c>
      <c r="F15" s="7" t="str">
        <f t="shared" si="6"/>
        <v xml:space="preserve">     Boat Airpods     </v>
      </c>
      <c r="G15" s="7" t="str">
        <f t="shared" si="7"/>
        <v>Deepraj Airpods</v>
      </c>
      <c r="H15">
        <f t="shared" si="8"/>
        <v>22</v>
      </c>
      <c r="I15">
        <f t="shared" si="9"/>
        <v>12</v>
      </c>
    </row>
    <row r="16" spans="2:9" ht="29">
      <c r="B16" s="86" t="s">
        <v>323</v>
      </c>
      <c r="C16" s="7" t="str">
        <f t="shared" si="3"/>
        <v xml:space="preserve">
HP Laptop</v>
      </c>
      <c r="D16" s="7" t="str">
        <f t="shared" si="4"/>
        <v/>
      </c>
      <c r="E16" s="7" t="str">
        <f t="shared" si="5"/>
        <v/>
      </c>
      <c r="F16" s="7" t="str">
        <f t="shared" si="6"/>
        <v xml:space="preserve">
HP Laptop</v>
      </c>
      <c r="G16" s="7" t="str">
        <f t="shared" si="7"/>
        <v>DeeprajLaptop</v>
      </c>
      <c r="H16">
        <f t="shared" si="8"/>
        <v>10</v>
      </c>
      <c r="I16">
        <f t="shared" si="9"/>
        <v>10</v>
      </c>
    </row>
    <row r="17" spans="2:13" ht="14.5">
      <c r="B17" s="6" t="s">
        <v>324</v>
      </c>
      <c r="C17" s="7" t="str">
        <f t="shared" si="3"/>
        <v>Samsung Mobile</v>
      </c>
      <c r="D17" s="7">
        <f t="shared" si="4"/>
        <v>14</v>
      </c>
      <c r="E17" s="7">
        <f t="shared" si="5"/>
        <v>14</v>
      </c>
      <c r="F17" s="7" t="str">
        <f t="shared" si="6"/>
        <v xml:space="preserve">Samsung Mobile     </v>
      </c>
      <c r="G17" s="7" t="str">
        <f t="shared" si="7"/>
        <v>Deeprajung Mobile</v>
      </c>
      <c r="H17">
        <f t="shared" si="8"/>
        <v>19</v>
      </c>
      <c r="I17">
        <f t="shared" si="9"/>
        <v>14</v>
      </c>
    </row>
    <row r="18" spans="2:13" ht="14.5">
      <c r="B18" s="6" t="s">
        <v>325</v>
      </c>
      <c r="C18" s="7" t="str">
        <f t="shared" si="3"/>
        <v>Sony Camera</v>
      </c>
      <c r="D18" s="7">
        <f t="shared" si="4"/>
        <v>9</v>
      </c>
      <c r="E18" s="7">
        <f t="shared" si="5"/>
        <v>9</v>
      </c>
      <c r="F18" s="7" t="str">
        <f t="shared" si="6"/>
        <v xml:space="preserve">       Sony Camera</v>
      </c>
      <c r="G18" s="7" t="str">
        <f t="shared" si="7"/>
        <v>Deepraj Camera</v>
      </c>
      <c r="H18">
        <f t="shared" si="8"/>
        <v>18</v>
      </c>
      <c r="I18">
        <f t="shared" si="9"/>
        <v>11</v>
      </c>
    </row>
    <row r="19" spans="2:13" ht="14.5">
      <c r="B19" s="6" t="s">
        <v>326</v>
      </c>
      <c r="C19" s="7" t="str">
        <f t="shared" si="3"/>
        <v>Puma Tshirt</v>
      </c>
      <c r="D19" s="7" t="str">
        <f t="shared" si="4"/>
        <v/>
      </c>
      <c r="E19" s="7" t="str">
        <f t="shared" si="5"/>
        <v/>
      </c>
      <c r="F19" s="7" t="str">
        <f t="shared" si="6"/>
        <v xml:space="preserve">      Puma Tshirt     </v>
      </c>
      <c r="G19" s="7" t="str">
        <f t="shared" si="7"/>
        <v>Deepraj Tshirt</v>
      </c>
      <c r="H19">
        <f t="shared" si="8"/>
        <v>22</v>
      </c>
      <c r="I19">
        <f t="shared" si="9"/>
        <v>11</v>
      </c>
    </row>
    <row r="20" spans="2:13" ht="14.5">
      <c r="B20" s="6" t="s">
        <v>319</v>
      </c>
      <c r="C20" s="7" t="str">
        <f t="shared" si="3"/>
        <v>Dell Monito</v>
      </c>
      <c r="D20" s="7">
        <f t="shared" si="4"/>
        <v>2</v>
      </c>
      <c r="E20" s="7">
        <f t="shared" si="5"/>
        <v>2</v>
      </c>
      <c r="F20" s="7" t="str">
        <f t="shared" si="6"/>
        <v>Dell Monito</v>
      </c>
      <c r="G20" s="7" t="str">
        <f t="shared" si="7"/>
        <v>Deepraj Monito</v>
      </c>
      <c r="H20">
        <f t="shared" si="8"/>
        <v>11</v>
      </c>
      <c r="I20">
        <f t="shared" si="9"/>
        <v>11</v>
      </c>
      <c r="M20">
        <f>FIND("D","Deepraj")</f>
        <v>1</v>
      </c>
    </row>
    <row r="21" spans="2:13" ht="15.75" customHeight="1">
      <c r="C21" s="7" t="str">
        <f t="shared" si="3"/>
        <v/>
      </c>
      <c r="D21" s="7"/>
      <c r="E21" s="7"/>
      <c r="F21" s="7" t="str">
        <f t="shared" si="6"/>
        <v/>
      </c>
      <c r="I21" t="s">
        <v>311</v>
      </c>
    </row>
    <row r="22" spans="2:13" ht="15.75" customHeight="1">
      <c r="B22" s="5" t="s">
        <v>21</v>
      </c>
      <c r="C22" s="5" t="s">
        <v>22</v>
      </c>
      <c r="D22" s="5" t="s">
        <v>23</v>
      </c>
      <c r="E22" s="5" t="s">
        <v>24</v>
      </c>
      <c r="F22" s="5" t="s">
        <v>312</v>
      </c>
    </row>
    <row r="23" spans="2:13" ht="15.75" customHeight="1">
      <c r="B23" s="82" t="s">
        <v>9</v>
      </c>
      <c r="C23" s="7"/>
      <c r="D23" s="7"/>
      <c r="E23" s="7"/>
      <c r="F23" s="7"/>
      <c r="G23" s="54"/>
    </row>
    <row r="24" spans="2:13" ht="15.75" customHeight="1">
      <c r="B24" s="6" t="s">
        <v>10</v>
      </c>
      <c r="C24" s="7"/>
      <c r="D24" s="7"/>
      <c r="E24" s="7"/>
      <c r="F24" s="7"/>
      <c r="G24" s="60"/>
    </row>
    <row r="25" spans="2:13" ht="15.75" customHeight="1">
      <c r="B25" s="6" t="s">
        <v>11</v>
      </c>
      <c r="C25" s="7"/>
      <c r="D25" s="7"/>
      <c r="E25" s="7"/>
      <c r="F25" s="7"/>
      <c r="G25" s="60"/>
    </row>
    <row r="26" spans="2:13" ht="15.75" customHeight="1">
      <c r="B26" s="6" t="s">
        <v>12</v>
      </c>
      <c r="C26" s="7"/>
      <c r="D26" s="7"/>
      <c r="E26" s="7"/>
      <c r="F26" s="7"/>
      <c r="G26" s="60"/>
    </row>
    <row r="27" spans="2:13" ht="15.75" customHeight="1">
      <c r="B27" s="6" t="s">
        <v>13</v>
      </c>
      <c r="C27" s="7"/>
      <c r="D27" s="7"/>
      <c r="E27" s="7"/>
      <c r="F27" s="7"/>
      <c r="G27" s="60"/>
    </row>
    <row r="28" spans="2:13" ht="15.75" customHeight="1">
      <c r="B28" s="6" t="s">
        <v>14</v>
      </c>
      <c r="C28" s="7"/>
      <c r="D28" s="7"/>
      <c r="E28" s="7"/>
      <c r="F28" s="7"/>
      <c r="G28" s="60"/>
    </row>
    <row r="29" spans="2:13" ht="15.75" customHeight="1">
      <c r="B29" s="6" t="s">
        <v>15</v>
      </c>
      <c r="C29" s="7"/>
      <c r="D29" s="7"/>
      <c r="E29" s="7"/>
      <c r="F29" s="7"/>
      <c r="G29" s="60"/>
    </row>
    <row r="30" spans="2:13" ht="15.75" customHeight="1">
      <c r="B30" s="6" t="s">
        <v>16</v>
      </c>
      <c r="C30" s="7"/>
      <c r="D30" s="7"/>
      <c r="E30" s="7"/>
      <c r="F30" s="7"/>
      <c r="G30" s="60"/>
    </row>
    <row r="31" spans="2:13" ht="15.75" customHeight="1"/>
    <row r="32" spans="2:13" ht="15.75" customHeight="1"/>
    <row r="33" spans="2:6" ht="15.75" customHeight="1"/>
    <row r="34" spans="2:6" ht="15.75" customHeight="1"/>
    <row r="35" spans="2:6" ht="15.75" customHeight="1"/>
    <row r="36" spans="2:6" ht="15.75" customHeight="1"/>
    <row r="37" spans="2:6" ht="15.75" customHeight="1"/>
    <row r="38" spans="2:6" ht="15.75" customHeight="1"/>
    <row r="39" spans="2:6" ht="15.75" customHeight="1">
      <c r="B39" s="9" t="s">
        <v>21</v>
      </c>
      <c r="C39" s="10" t="s">
        <v>22</v>
      </c>
      <c r="D39" s="10" t="s">
        <v>23</v>
      </c>
      <c r="E39" s="60"/>
      <c r="F39" s="60"/>
    </row>
    <row r="40" spans="2:6" ht="15.75" customHeight="1">
      <c r="B40" s="7" t="s">
        <v>25</v>
      </c>
      <c r="C40" s="7" t="str">
        <f>LEFT(B40, FIND("-", B40) - 1)</f>
        <v>Sharukh</v>
      </c>
      <c r="D40" s="7" t="str">
        <f>RIGHT(B40, LEN(B40) - FIND("-", B40))</f>
        <v>Khan</v>
      </c>
      <c r="E40" s="60"/>
      <c r="F40" s="60"/>
    </row>
    <row r="41" spans="2:6" ht="15.75" customHeight="1">
      <c r="B41" s="7" t="s">
        <v>26</v>
      </c>
      <c r="C41" s="7" t="str">
        <f t="shared" ref="C41:C47" si="10">LEFT(B41, FIND("-", B41) - 1)</f>
        <v>Salman</v>
      </c>
      <c r="D41" s="7" t="str">
        <f t="shared" ref="D41:D47" si="11">RIGHT(B41, LEN(B41) - FIND("-", B41))</f>
        <v>Khan</v>
      </c>
      <c r="E41" s="60"/>
      <c r="F41" s="60"/>
    </row>
    <row r="42" spans="2:6" ht="15.75" customHeight="1">
      <c r="B42" s="7" t="s">
        <v>27</v>
      </c>
      <c r="C42" s="7" t="str">
        <f t="shared" si="10"/>
        <v>Ananya</v>
      </c>
      <c r="D42" s="7" t="str">
        <f t="shared" si="11"/>
        <v>Pandey</v>
      </c>
      <c r="E42" s="60"/>
      <c r="F42" s="60"/>
    </row>
    <row r="43" spans="2:6" ht="15.75" customHeight="1">
      <c r="B43" s="7" t="s">
        <v>28</v>
      </c>
      <c r="C43" s="7" t="str">
        <f t="shared" si="10"/>
        <v>Happy</v>
      </c>
      <c r="D43" s="7" t="str">
        <f t="shared" si="11"/>
        <v>Singh</v>
      </c>
      <c r="E43" s="60"/>
      <c r="F43" s="60"/>
    </row>
    <row r="44" spans="2:6" ht="15.75" customHeight="1">
      <c r="B44" s="7" t="s">
        <v>29</v>
      </c>
      <c r="C44" s="7" t="str">
        <f t="shared" si="10"/>
        <v>Akshay</v>
      </c>
      <c r="D44" s="7" t="str">
        <f t="shared" si="11"/>
        <v>Kumar</v>
      </c>
      <c r="E44" s="60"/>
      <c r="F44" s="60"/>
    </row>
    <row r="45" spans="2:6" ht="15.75" customHeight="1">
      <c r="B45" s="7" t="s">
        <v>30</v>
      </c>
      <c r="C45" s="7" t="str">
        <f t="shared" si="10"/>
        <v>Amir</v>
      </c>
      <c r="D45" s="7" t="str">
        <f t="shared" si="11"/>
        <v>Khan</v>
      </c>
      <c r="E45" s="60"/>
      <c r="F45" s="60"/>
    </row>
    <row r="46" spans="2:6" ht="15.75" customHeight="1">
      <c r="B46" s="7" t="s">
        <v>31</v>
      </c>
      <c r="C46" s="7" t="str">
        <f t="shared" si="10"/>
        <v>Aishwarya</v>
      </c>
      <c r="D46" s="7" t="str">
        <f t="shared" si="11"/>
        <v>Rai</v>
      </c>
      <c r="E46" s="60"/>
      <c r="F46" s="60"/>
    </row>
    <row r="47" spans="2:6" ht="15.75" customHeight="1">
      <c r="B47" s="7" t="s">
        <v>32</v>
      </c>
      <c r="C47" s="7" t="str">
        <f t="shared" si="10"/>
        <v>Madhuri</v>
      </c>
      <c r="D47" s="7" t="str">
        <f t="shared" si="11"/>
        <v>Dixit</v>
      </c>
      <c r="E47" s="60"/>
      <c r="F47" s="60"/>
    </row>
    <row r="48" spans="2:6" ht="15.75" customHeight="1"/>
    <row r="49" spans="2:7" ht="15.75" customHeight="1"/>
    <row r="50" spans="2:7" ht="15.75" customHeight="1">
      <c r="B50" s="9" t="s">
        <v>21</v>
      </c>
      <c r="C50" s="10" t="s">
        <v>22</v>
      </c>
      <c r="D50" s="10" t="s">
        <v>23</v>
      </c>
    </row>
    <row r="51" spans="2:7" ht="15.75" customHeight="1">
      <c r="B51" s="7" t="s">
        <v>33</v>
      </c>
      <c r="C51" s="7"/>
      <c r="D51" s="7"/>
    </row>
    <row r="52" spans="2:7" ht="15.75" customHeight="1">
      <c r="B52" s="7" t="s">
        <v>34</v>
      </c>
      <c r="C52" s="7"/>
      <c r="D52" s="7"/>
    </row>
    <row r="53" spans="2:7" ht="15.75" customHeight="1">
      <c r="B53" s="7" t="s">
        <v>35</v>
      </c>
      <c r="C53" s="7"/>
      <c r="D53" s="7"/>
    </row>
    <row r="54" spans="2:7" ht="15.75" customHeight="1">
      <c r="B54" s="7" t="s">
        <v>36</v>
      </c>
      <c r="C54" s="7"/>
      <c r="D54" s="7"/>
    </row>
    <row r="55" spans="2:7" ht="15.75" customHeight="1">
      <c r="B55" s="7" t="s">
        <v>37</v>
      </c>
      <c r="C55" s="7"/>
      <c r="D55" s="7"/>
    </row>
    <row r="56" spans="2:7" ht="15.75" customHeight="1">
      <c r="B56" s="7" t="s">
        <v>38</v>
      </c>
      <c r="C56" s="7"/>
      <c r="D56" s="7"/>
      <c r="G56" s="7" t="s">
        <v>25</v>
      </c>
    </row>
    <row r="57" spans="2:7" ht="15.75" customHeight="1">
      <c r="B57" s="7" t="s">
        <v>39</v>
      </c>
      <c r="C57" s="7"/>
      <c r="D57" s="7"/>
      <c r="G57" s="7" t="s">
        <v>41</v>
      </c>
    </row>
    <row r="58" spans="2:7" ht="15.75" customHeight="1">
      <c r="B58" s="7" t="s">
        <v>40</v>
      </c>
      <c r="C58" s="7"/>
      <c r="D58" s="7"/>
      <c r="G58" s="7" t="s">
        <v>33</v>
      </c>
    </row>
    <row r="59" spans="2:7" ht="15.75" customHeight="1"/>
    <row r="60" spans="2:7" ht="15.75" customHeight="1"/>
    <row r="61" spans="2:7" ht="15.75" customHeight="1">
      <c r="B61" s="9" t="s">
        <v>21</v>
      </c>
      <c r="C61" s="10" t="s">
        <v>22</v>
      </c>
      <c r="D61" s="10" t="s">
        <v>23</v>
      </c>
    </row>
    <row r="62" spans="2:7" ht="15.75" customHeight="1">
      <c r="B62" s="7" t="s">
        <v>41</v>
      </c>
      <c r="C62" s="7"/>
      <c r="D62" s="7"/>
    </row>
    <row r="63" spans="2:7" ht="15.75" customHeight="1">
      <c r="B63" s="7" t="s">
        <v>42</v>
      </c>
      <c r="C63" s="7"/>
      <c r="D63" s="7"/>
    </row>
    <row r="64" spans="2:7" ht="15.75" customHeight="1">
      <c r="B64" s="7" t="s">
        <v>43</v>
      </c>
      <c r="C64" s="7"/>
      <c r="D64" s="7"/>
    </row>
    <row r="65" spans="2:4" ht="15.75" customHeight="1">
      <c r="B65" s="7" t="s">
        <v>44</v>
      </c>
      <c r="C65" s="7"/>
      <c r="D65" s="7"/>
    </row>
    <row r="66" spans="2:4" ht="15.75" customHeight="1">
      <c r="B66" s="7" t="s">
        <v>45</v>
      </c>
      <c r="C66" s="7"/>
      <c r="D66" s="7"/>
    </row>
    <row r="67" spans="2:4" ht="15.75" customHeight="1">
      <c r="B67" s="7" t="s">
        <v>46</v>
      </c>
      <c r="C67" s="7"/>
      <c r="D67" s="7"/>
    </row>
    <row r="68" spans="2:4" ht="15.75" customHeight="1">
      <c r="B68" s="7" t="s">
        <v>47</v>
      </c>
      <c r="C68" s="7"/>
      <c r="D68" s="7"/>
    </row>
    <row r="69" spans="2:4" ht="15.75" customHeight="1">
      <c r="B69" s="7" t="s">
        <v>48</v>
      </c>
      <c r="C69" s="7"/>
      <c r="D69" s="7"/>
    </row>
    <row r="70" spans="2:4" ht="15.75" customHeight="1"/>
    <row r="71" spans="2:4" ht="15.75" customHeight="1"/>
    <row r="72" spans="2:4" ht="15.75" customHeight="1"/>
    <row r="73" spans="2:4" ht="15.75" customHeight="1"/>
    <row r="74" spans="2:4" ht="15.75" customHeight="1"/>
    <row r="75" spans="2:4" ht="15.75" customHeight="1"/>
    <row r="76" spans="2:4" ht="15.75" customHeight="1"/>
    <row r="77" spans="2:4" ht="15.75" customHeight="1"/>
    <row r="78" spans="2:4" ht="15.75" customHeight="1"/>
    <row r="79" spans="2:4" ht="15.75" customHeight="1"/>
    <row r="80" spans="2:4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6BAD8CE-1DBC-44C9-B316-806B0B5B5BBC}" scale="116" topLeftCell="A24">
      <selection activeCell="E33" sqref="E33"/>
      <pageMargins left="0.7" right="0.7" top="0.75" bottom="0.75" header="0" footer="0"/>
      <pageSetup orientation="landscape"/>
    </customSheetView>
    <customSheetView guid="{586EE853-6E53-4973-9818-E4AB447301FE}" scale="116" topLeftCell="A24">
      <selection activeCell="E33" sqref="E33"/>
      <pageMargins left="0.7" right="0.7" top="0.75" bottom="0.75" header="0" footer="0"/>
      <pageSetup orientation="landscape"/>
    </customSheetView>
  </customSheetViews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5" workbookViewId="0">
      <selection activeCell="D24" sqref="D24"/>
    </sheetView>
  </sheetViews>
  <sheetFormatPr defaultRowHeight="14.5"/>
  <cols>
    <col min="1" max="1" width="9.6328125" style="53" customWidth="1"/>
    <col min="2" max="2" width="18.453125" style="53" bestFit="1" customWidth="1"/>
    <col min="3" max="3" width="13.36328125" style="53" customWidth="1"/>
    <col min="4" max="4" width="11.26953125" style="53" customWidth="1"/>
    <col min="5" max="5" width="10.1796875" style="53" customWidth="1"/>
    <col min="6" max="6" width="8.7265625" style="53"/>
  </cols>
  <sheetData>
    <row r="1" spans="1:6" ht="15.5">
      <c r="A1" s="88" t="s">
        <v>70</v>
      </c>
      <c r="B1" s="88" t="s">
        <v>332</v>
      </c>
      <c r="C1" s="88" t="s">
        <v>82</v>
      </c>
      <c r="D1" s="88" t="s">
        <v>51</v>
      </c>
      <c r="E1" s="88" t="s">
        <v>343</v>
      </c>
      <c r="F1" s="88" t="s">
        <v>61</v>
      </c>
    </row>
    <row r="2" spans="1:6">
      <c r="A2" s="89">
        <v>1001</v>
      </c>
      <c r="B2" s="89" t="s">
        <v>333</v>
      </c>
      <c r="C2" s="89" t="s">
        <v>344</v>
      </c>
      <c r="D2" s="89">
        <v>14.95</v>
      </c>
      <c r="E2" s="89">
        <v>7.48</v>
      </c>
      <c r="F2" s="89">
        <v>2</v>
      </c>
    </row>
    <row r="3" spans="1:6">
      <c r="A3" s="89">
        <v>1002</v>
      </c>
      <c r="B3" s="89" t="s">
        <v>334</v>
      </c>
      <c r="C3" s="89" t="s">
        <v>345</v>
      </c>
      <c r="D3" s="89">
        <v>1700</v>
      </c>
      <c r="E3" s="89">
        <v>561</v>
      </c>
      <c r="F3" s="89">
        <v>1</v>
      </c>
    </row>
    <row r="4" spans="1:6">
      <c r="A4" s="89">
        <v>1003</v>
      </c>
      <c r="B4" s="89" t="s">
        <v>335</v>
      </c>
      <c r="C4" s="89" t="s">
        <v>346</v>
      </c>
      <c r="D4" s="89">
        <v>2.99</v>
      </c>
      <c r="E4" s="89">
        <v>1.5</v>
      </c>
      <c r="F4" s="89">
        <v>3</v>
      </c>
    </row>
    <row r="5" spans="1:6">
      <c r="A5" s="89">
        <v>1004</v>
      </c>
      <c r="B5" s="89" t="s">
        <v>338</v>
      </c>
      <c r="C5" s="89" t="s">
        <v>347</v>
      </c>
      <c r="D5" s="89">
        <v>149.99</v>
      </c>
      <c r="E5" s="89">
        <v>97.49</v>
      </c>
      <c r="F5" s="89">
        <v>1</v>
      </c>
    </row>
    <row r="6" spans="1:6">
      <c r="A6" s="89">
        <v>1005</v>
      </c>
      <c r="B6" s="89" t="s">
        <v>336</v>
      </c>
      <c r="C6" s="89" t="s">
        <v>348</v>
      </c>
      <c r="D6" s="89">
        <v>11.99</v>
      </c>
      <c r="E6" s="89">
        <v>6</v>
      </c>
      <c r="F6" s="89">
        <v>2</v>
      </c>
    </row>
    <row r="7" spans="1:6">
      <c r="A7" s="89">
        <v>1006</v>
      </c>
      <c r="B7" s="89" t="s">
        <v>349</v>
      </c>
      <c r="C7" s="89" t="s">
        <v>350</v>
      </c>
      <c r="D7" s="89">
        <v>300</v>
      </c>
      <c r="E7" s="89">
        <v>99</v>
      </c>
      <c r="F7" s="89">
        <v>1</v>
      </c>
    </row>
    <row r="8" spans="1:6">
      <c r="A8" s="89">
        <v>1007</v>
      </c>
      <c r="B8" s="89" t="s">
        <v>351</v>
      </c>
      <c r="C8" s="89" t="s">
        <v>352</v>
      </c>
      <c r="D8" s="89">
        <v>11.95</v>
      </c>
      <c r="E8" s="89">
        <v>5.98</v>
      </c>
      <c r="F8" s="89">
        <v>2</v>
      </c>
    </row>
    <row r="9" spans="1:6">
      <c r="A9" s="89">
        <v>1008</v>
      </c>
      <c r="B9" s="89" t="s">
        <v>337</v>
      </c>
      <c r="C9" s="89" t="s">
        <v>344</v>
      </c>
      <c r="D9" s="89">
        <v>700</v>
      </c>
      <c r="E9" s="89">
        <v>231</v>
      </c>
      <c r="F9" s="89">
        <v>1</v>
      </c>
    </row>
    <row r="10" spans="1:6">
      <c r="A10" s="89">
        <v>1009</v>
      </c>
      <c r="B10" s="89" t="s">
        <v>353</v>
      </c>
      <c r="C10" s="89" t="s">
        <v>345</v>
      </c>
      <c r="D10" s="89">
        <v>99.99</v>
      </c>
      <c r="E10" s="89">
        <v>50</v>
      </c>
      <c r="F10" s="89">
        <v>1</v>
      </c>
    </row>
    <row r="11" spans="1:6">
      <c r="A11" s="89">
        <v>1010</v>
      </c>
      <c r="B11" s="89" t="s">
        <v>339</v>
      </c>
      <c r="C11" s="89" t="s">
        <v>347</v>
      </c>
      <c r="D11" s="89">
        <v>150</v>
      </c>
      <c r="E11" s="89">
        <v>97.5</v>
      </c>
      <c r="F11" s="89">
        <v>1</v>
      </c>
    </row>
    <row r="12" spans="1:6">
      <c r="A12" s="89">
        <v>1011</v>
      </c>
      <c r="B12" s="89" t="s">
        <v>354</v>
      </c>
      <c r="C12" s="89" t="s">
        <v>346</v>
      </c>
      <c r="D12" s="89">
        <v>389.99</v>
      </c>
      <c r="E12" s="89">
        <v>128.69999999999999</v>
      </c>
      <c r="F12" s="89">
        <v>1</v>
      </c>
    </row>
    <row r="13" spans="1:6">
      <c r="A13" s="89">
        <v>1012</v>
      </c>
      <c r="B13" s="89" t="s">
        <v>355</v>
      </c>
      <c r="C13" s="89" t="s">
        <v>350</v>
      </c>
      <c r="D13" s="89">
        <v>150</v>
      </c>
      <c r="E13" s="89">
        <v>97.5</v>
      </c>
      <c r="F13" s="89">
        <v>2</v>
      </c>
    </row>
    <row r="14" spans="1:6">
      <c r="A14" s="89">
        <v>1013</v>
      </c>
      <c r="B14" s="89" t="s">
        <v>340</v>
      </c>
      <c r="C14" s="89" t="s">
        <v>345</v>
      </c>
      <c r="D14" s="89">
        <v>1700</v>
      </c>
      <c r="E14" s="89">
        <v>561</v>
      </c>
      <c r="F14" s="89">
        <v>1</v>
      </c>
    </row>
    <row r="15" spans="1:6">
      <c r="A15" s="89">
        <v>1014</v>
      </c>
      <c r="B15" s="89" t="s">
        <v>356</v>
      </c>
      <c r="C15" s="89" t="s">
        <v>352</v>
      </c>
      <c r="D15" s="89">
        <v>11.99</v>
      </c>
      <c r="E15" s="89">
        <v>5.99</v>
      </c>
      <c r="F15" s="89">
        <v>2</v>
      </c>
    </row>
    <row r="16" spans="1:6">
      <c r="A16" s="89">
        <v>1015</v>
      </c>
      <c r="B16" s="89" t="s">
        <v>357</v>
      </c>
      <c r="C16" s="89" t="s">
        <v>344</v>
      </c>
      <c r="D16" s="89">
        <v>149.99</v>
      </c>
      <c r="E16" s="89">
        <v>97.49</v>
      </c>
      <c r="F16" s="89">
        <v>1</v>
      </c>
    </row>
    <row r="17" spans="1:6">
      <c r="A17" s="89">
        <v>1016</v>
      </c>
      <c r="B17" s="89" t="s">
        <v>358</v>
      </c>
      <c r="C17" s="89" t="s">
        <v>347</v>
      </c>
      <c r="D17" s="89">
        <v>300</v>
      </c>
      <c r="E17" s="89">
        <v>99</v>
      </c>
      <c r="F17" s="89">
        <v>1</v>
      </c>
    </row>
    <row r="18" spans="1:6">
      <c r="A18" s="89">
        <v>1017</v>
      </c>
      <c r="B18" s="89" t="s">
        <v>341</v>
      </c>
      <c r="C18" s="89" t="s">
        <v>348</v>
      </c>
      <c r="D18" s="89">
        <v>14.95</v>
      </c>
      <c r="E18" s="89">
        <v>7.48</v>
      </c>
      <c r="F18" s="89">
        <v>3</v>
      </c>
    </row>
    <row r="19" spans="1:6">
      <c r="A19" s="89">
        <v>1018</v>
      </c>
      <c r="B19" s="89" t="s">
        <v>359</v>
      </c>
      <c r="C19" s="89" t="s">
        <v>346</v>
      </c>
      <c r="D19" s="89">
        <v>700</v>
      </c>
      <c r="E19" s="89">
        <v>231</v>
      </c>
      <c r="F19" s="89">
        <v>1</v>
      </c>
    </row>
    <row r="20" spans="1:6">
      <c r="A20" s="89">
        <v>1019</v>
      </c>
      <c r="B20" s="89" t="s">
        <v>342</v>
      </c>
      <c r="C20" s="89" t="s">
        <v>350</v>
      </c>
      <c r="D20" s="89">
        <v>2.99</v>
      </c>
      <c r="E20" s="89">
        <v>1.5</v>
      </c>
      <c r="F20" s="89">
        <v>4</v>
      </c>
    </row>
    <row r="21" spans="1:6" ht="15" thickBot="1">
      <c r="A21" s="89">
        <v>1020</v>
      </c>
      <c r="B21" s="89" t="s">
        <v>360</v>
      </c>
      <c r="C21" s="89" t="s">
        <v>345</v>
      </c>
      <c r="D21" s="89">
        <v>11.95</v>
      </c>
      <c r="E21" s="89">
        <v>5.98</v>
      </c>
      <c r="F21" s="89">
        <v>2</v>
      </c>
    </row>
    <row r="22" spans="1:6">
      <c r="A22" s="99" t="s">
        <v>199</v>
      </c>
      <c r="D22" s="91">
        <f>SUM(D2:D21)</f>
        <v>6573.7199999999984</v>
      </c>
      <c r="E22" s="92"/>
      <c r="F22" s="93"/>
    </row>
    <row r="23" spans="1:6">
      <c r="A23" s="100" t="s">
        <v>64</v>
      </c>
      <c r="D23" s="94">
        <f>AVERAGE(D2:D21)</f>
        <v>328.68599999999992</v>
      </c>
      <c r="E23" s="90"/>
      <c r="F23" s="95"/>
    </row>
    <row r="24" spans="1:6">
      <c r="A24" s="100" t="s">
        <v>50</v>
      </c>
      <c r="D24" s="94">
        <f>PRODUCT(D2:D21)</f>
        <v>1.0319354662397272E+38</v>
      </c>
      <c r="E24" s="90"/>
      <c r="F24" s="95"/>
    </row>
    <row r="25" spans="1:6">
      <c r="A25" s="100" t="s">
        <v>203</v>
      </c>
      <c r="D25" s="94">
        <f>MIN(D2:D21)</f>
        <v>2.99</v>
      </c>
      <c r="E25" s="90"/>
      <c r="F25" s="95"/>
    </row>
    <row r="26" spans="1:6">
      <c r="A26" s="100" t="s">
        <v>205</v>
      </c>
      <c r="D26" s="94">
        <f>MAX(D2:D21)</f>
        <v>1700</v>
      </c>
      <c r="E26" s="90"/>
      <c r="F26" s="95"/>
    </row>
    <row r="27" spans="1:6" ht="15" thickBot="1">
      <c r="A27" s="101" t="s">
        <v>207</v>
      </c>
      <c r="D27" s="96">
        <f>COUNT(D2:D21)</f>
        <v>20</v>
      </c>
      <c r="E27" s="97"/>
      <c r="F27" s="9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1000"/>
  <sheetViews>
    <sheetView zoomScale="106" workbookViewId="0">
      <selection activeCell="F5" sqref="F5"/>
    </sheetView>
  </sheetViews>
  <sheetFormatPr defaultColWidth="14.453125" defaultRowHeight="15" customHeight="1"/>
  <cols>
    <col min="1" max="1" width="26.54296875" customWidth="1"/>
    <col min="2" max="2" width="8.6328125" customWidth="1"/>
    <col min="3" max="3" width="10.6328125" bestFit="1" customWidth="1"/>
    <col min="4" max="4" width="16.54296875" customWidth="1"/>
    <col min="5" max="5" width="10.54296875" customWidth="1"/>
    <col min="6" max="6" width="26.54296875" customWidth="1"/>
    <col min="7" max="7" width="8.6328125" customWidth="1"/>
    <col min="8" max="8" width="21.453125" bestFit="1" customWidth="1"/>
    <col min="9" max="26" width="8.6328125" customWidth="1"/>
  </cols>
  <sheetData>
    <row r="1" spans="1:10" ht="48" customHeight="1">
      <c r="A1" s="84" t="s">
        <v>113</v>
      </c>
      <c r="J1" s="11"/>
    </row>
    <row r="2" spans="1:10" ht="14.5">
      <c r="A2" s="87" t="s">
        <v>114</v>
      </c>
      <c r="J2" s="4"/>
    </row>
    <row r="3" spans="1:10" ht="14.5">
      <c r="J3" s="4"/>
    </row>
    <row r="4" spans="1:10" ht="14.5">
      <c r="C4" s="49" t="s">
        <v>96</v>
      </c>
      <c r="D4" s="49" t="s">
        <v>97</v>
      </c>
      <c r="E4" s="49" t="s">
        <v>98</v>
      </c>
      <c r="F4" s="49" t="s">
        <v>99</v>
      </c>
      <c r="G4" s="49" t="s">
        <v>100</v>
      </c>
      <c r="H4" s="49" t="s">
        <v>100</v>
      </c>
      <c r="J4" s="4"/>
    </row>
    <row r="5" spans="1:10" ht="14.5">
      <c r="C5" s="52" t="s">
        <v>115</v>
      </c>
      <c r="D5" s="51">
        <v>25</v>
      </c>
      <c r="E5" s="51">
        <v>25</v>
      </c>
      <c r="F5" s="51" t="b">
        <f>D5=E5</f>
        <v>1</v>
      </c>
      <c r="G5" s="51" t="s">
        <v>316</v>
      </c>
      <c r="H5" s="51" t="s">
        <v>102</v>
      </c>
      <c r="J5" s="4"/>
    </row>
    <row r="6" spans="1:10" ht="14.5">
      <c r="C6" s="52" t="s">
        <v>116</v>
      </c>
      <c r="D6" s="51">
        <v>25</v>
      </c>
      <c r="E6" s="51">
        <v>45</v>
      </c>
      <c r="F6" s="51" t="b">
        <f>D6&lt;&gt;E6</f>
        <v>1</v>
      </c>
      <c r="G6" s="51" t="s">
        <v>117</v>
      </c>
      <c r="H6" s="51" t="s">
        <v>104</v>
      </c>
      <c r="J6" s="4"/>
    </row>
    <row r="7" spans="1:10" ht="14.5">
      <c r="C7" s="52" t="s">
        <v>118</v>
      </c>
      <c r="D7" s="51">
        <v>25</v>
      </c>
      <c r="E7" s="51">
        <v>45</v>
      </c>
      <c r="F7" s="51" t="b">
        <f>D7&gt;E7</f>
        <v>0</v>
      </c>
      <c r="G7" s="51" t="s">
        <v>119</v>
      </c>
      <c r="H7" s="51" t="s">
        <v>106</v>
      </c>
      <c r="J7" s="4"/>
    </row>
    <row r="8" spans="1:10" ht="14.5">
      <c r="C8" s="52" t="s">
        <v>120</v>
      </c>
      <c r="D8" s="51">
        <v>25</v>
      </c>
      <c r="E8" s="51">
        <v>45</v>
      </c>
      <c r="F8" s="51" t="b">
        <f>D8&gt;=E8</f>
        <v>0</v>
      </c>
      <c r="G8" s="51" t="s">
        <v>121</v>
      </c>
      <c r="H8" s="51" t="s">
        <v>108</v>
      </c>
      <c r="J8" s="4"/>
    </row>
    <row r="9" spans="1:10" ht="14.5">
      <c r="C9" s="52" t="s">
        <v>122</v>
      </c>
      <c r="D9" s="51">
        <v>25</v>
      </c>
      <c r="E9" s="51">
        <v>45</v>
      </c>
      <c r="F9" s="51" t="b">
        <f>D9&lt;E9</f>
        <v>1</v>
      </c>
      <c r="G9" s="51" t="s">
        <v>123</v>
      </c>
      <c r="H9" s="51" t="s">
        <v>110</v>
      </c>
      <c r="J9" s="4"/>
    </row>
    <row r="10" spans="1:10" ht="14.5">
      <c r="C10" s="52" t="s">
        <v>124</v>
      </c>
      <c r="D10" s="51">
        <v>25</v>
      </c>
      <c r="E10" s="51">
        <v>45</v>
      </c>
      <c r="F10" s="51" t="b">
        <f>D10&lt;=E10</f>
        <v>1</v>
      </c>
      <c r="G10" s="51" t="s">
        <v>125</v>
      </c>
      <c r="H10" s="51" t="s">
        <v>112</v>
      </c>
      <c r="J10" s="4"/>
    </row>
    <row r="11" spans="1:10" ht="14.5">
      <c r="J11" s="4"/>
    </row>
    <row r="12" spans="1:10" ht="14.5">
      <c r="A12" s="4"/>
      <c r="B12" s="12"/>
      <c r="C12" s="12"/>
      <c r="D12" s="13"/>
      <c r="E12" s="4"/>
      <c r="F12" s="4"/>
      <c r="G12" s="4"/>
      <c r="H12" s="4"/>
      <c r="J12" s="4"/>
    </row>
    <row r="13" spans="1:10" ht="14.5">
      <c r="A13" s="4"/>
      <c r="B13" s="12"/>
      <c r="C13" s="12"/>
      <c r="D13" s="13"/>
      <c r="E13" s="4"/>
      <c r="F13" s="4"/>
      <c r="G13" s="4"/>
      <c r="H13" s="4"/>
      <c r="J13" s="4"/>
    </row>
    <row r="14" spans="1:10" ht="14.5">
      <c r="A14" s="4"/>
      <c r="B14" s="12"/>
      <c r="C14" s="12"/>
      <c r="D14" s="13"/>
      <c r="E14" s="4"/>
      <c r="F14" s="4"/>
      <c r="G14" s="4"/>
      <c r="H14" s="4"/>
      <c r="J14" s="4"/>
    </row>
    <row r="15" spans="1:10" ht="14.5">
      <c r="J15" s="4"/>
    </row>
    <row r="16" spans="1:10" ht="14.5">
      <c r="A16" s="53" t="s">
        <v>126</v>
      </c>
      <c r="J16" s="4"/>
    </row>
    <row r="17" spans="3:10" ht="14.5">
      <c r="J17" s="4"/>
    </row>
    <row r="18" spans="3:10" ht="14.5">
      <c r="C18" s="49" t="s">
        <v>96</v>
      </c>
      <c r="D18" s="49" t="s">
        <v>97</v>
      </c>
      <c r="E18" s="49" t="s">
        <v>98</v>
      </c>
      <c r="F18" s="49" t="s">
        <v>99</v>
      </c>
      <c r="G18" s="49"/>
      <c r="H18" s="49" t="s">
        <v>100</v>
      </c>
      <c r="J18" s="4"/>
    </row>
    <row r="19" spans="3:10" ht="14.5">
      <c r="C19" s="50" t="s">
        <v>101</v>
      </c>
      <c r="D19" s="51">
        <v>10</v>
      </c>
      <c r="E19" s="51">
        <v>20</v>
      </c>
      <c r="F19" s="51"/>
      <c r="G19" s="51"/>
      <c r="H19" s="51" t="s">
        <v>102</v>
      </c>
      <c r="J19" s="4"/>
    </row>
    <row r="20" spans="3:10" ht="14.5">
      <c r="C20" s="50" t="s">
        <v>103</v>
      </c>
      <c r="D20" s="51">
        <v>10</v>
      </c>
      <c r="E20" s="51">
        <v>20</v>
      </c>
      <c r="F20" s="51"/>
      <c r="G20" s="51"/>
      <c r="H20" s="51" t="s">
        <v>104</v>
      </c>
      <c r="J20" s="4"/>
    </row>
    <row r="21" spans="3:10" ht="15.75" customHeight="1">
      <c r="C21" s="50" t="s">
        <v>105</v>
      </c>
      <c r="D21" s="51">
        <v>10</v>
      </c>
      <c r="E21" s="51">
        <v>20</v>
      </c>
      <c r="F21" s="51"/>
      <c r="G21" s="51"/>
      <c r="H21" s="51" t="s">
        <v>106</v>
      </c>
      <c r="J21" s="4"/>
    </row>
    <row r="22" spans="3:10" ht="15.75" customHeight="1">
      <c r="C22" s="50" t="s">
        <v>107</v>
      </c>
      <c r="D22" s="51">
        <v>10</v>
      </c>
      <c r="E22" s="51">
        <v>20</v>
      </c>
      <c r="F22" s="51"/>
      <c r="G22" s="51"/>
      <c r="H22" s="51" t="s">
        <v>108</v>
      </c>
      <c r="J22" s="4"/>
    </row>
    <row r="23" spans="3:10" ht="15.75" customHeight="1">
      <c r="C23" s="50" t="s">
        <v>109</v>
      </c>
      <c r="D23" s="51">
        <v>10</v>
      </c>
      <c r="E23" s="51">
        <v>20</v>
      </c>
      <c r="F23" s="51"/>
      <c r="G23" s="51"/>
      <c r="H23" s="51" t="s">
        <v>110</v>
      </c>
      <c r="J23" s="4"/>
    </row>
    <row r="24" spans="3:10" ht="15.75" customHeight="1">
      <c r="C24" s="50" t="s">
        <v>111</v>
      </c>
      <c r="D24" s="51">
        <v>10</v>
      </c>
      <c r="E24" s="51">
        <v>20</v>
      </c>
      <c r="F24" s="51"/>
      <c r="G24" s="51"/>
      <c r="H24" s="51" t="s">
        <v>112</v>
      </c>
      <c r="J24" s="4"/>
    </row>
    <row r="25" spans="3:10" ht="15.75" customHeight="1">
      <c r="J25" s="4"/>
    </row>
    <row r="26" spans="3:10" ht="15.75" customHeight="1">
      <c r="J26" s="4"/>
    </row>
    <row r="27" spans="3:10" ht="15.75" customHeight="1"/>
    <row r="28" spans="3:10" ht="15.75" customHeight="1"/>
    <row r="29" spans="3:10" ht="15.75" customHeight="1"/>
    <row r="30" spans="3:10" ht="15.75" customHeight="1"/>
    <row r="31" spans="3:10" ht="15.75" customHeight="1"/>
    <row r="32" spans="3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6BAD8CE-1DBC-44C9-B316-806B0B5B5BBC}" scale="137" topLeftCell="B5">
      <selection activeCell="F21" sqref="F21"/>
      <pageMargins left="0.7" right="0.7" top="0.75" bottom="0.75" header="0" footer="0"/>
      <pageSetup orientation="landscape"/>
    </customSheetView>
    <customSheetView guid="{586EE853-6E53-4973-9818-E4AB447301FE}" scale="137" topLeftCell="B5">
      <selection activeCell="F21" sqref="F21"/>
      <pageMargins left="0.7" right="0.7" top="0.75" bottom="0.75" header="0" footer="0"/>
      <pageSetup orientation="landscape"/>
    </customSheetView>
  </customSheetView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J2" sqref="J2:J11"/>
    </sheetView>
  </sheetViews>
  <sheetFormatPr defaultRowHeight="14.5"/>
  <cols>
    <col min="1" max="1" width="8.7265625" style="105" customWidth="1"/>
    <col min="2" max="2" width="12.6328125" customWidth="1"/>
    <col min="3" max="3" width="11.90625" customWidth="1"/>
    <col min="6" max="6" width="13.36328125" customWidth="1"/>
    <col min="7" max="7" width="21.90625" customWidth="1"/>
    <col min="8" max="8" width="21" customWidth="1"/>
    <col min="9" max="9" width="17.26953125" customWidth="1"/>
    <col min="10" max="10" width="15.453125" customWidth="1"/>
  </cols>
  <sheetData>
    <row r="1" spans="1:14" ht="29.5" thickBot="1">
      <c r="A1" s="113" t="s">
        <v>70</v>
      </c>
      <c r="B1" s="114" t="s">
        <v>332</v>
      </c>
      <c r="C1" s="114" t="s">
        <v>49</v>
      </c>
      <c r="D1" s="114" t="s">
        <v>371</v>
      </c>
      <c r="E1" s="107" t="s">
        <v>61</v>
      </c>
      <c r="F1" s="104" t="s">
        <v>372</v>
      </c>
      <c r="G1" s="104" t="s">
        <v>373</v>
      </c>
      <c r="H1" s="104" t="s">
        <v>374</v>
      </c>
      <c r="I1" s="104" t="s">
        <v>375</v>
      </c>
      <c r="J1" s="104" t="s">
        <v>376</v>
      </c>
      <c r="K1" s="102"/>
      <c r="L1" s="102"/>
      <c r="M1" s="102"/>
      <c r="N1" s="102"/>
    </row>
    <row r="2" spans="1:14" ht="30" thickTop="1" thickBot="1">
      <c r="A2" s="108">
        <v>101</v>
      </c>
      <c r="B2" s="109" t="s">
        <v>361</v>
      </c>
      <c r="C2" s="109" t="s">
        <v>54</v>
      </c>
      <c r="D2" s="109">
        <v>1500</v>
      </c>
      <c r="E2" s="109">
        <v>2</v>
      </c>
      <c r="F2" s="115">
        <f>D2*E2</f>
        <v>3000</v>
      </c>
      <c r="G2" s="115" t="str">
        <f>IF(F2&gt;5000,"Yes","No")</f>
        <v>No</v>
      </c>
      <c r="H2" s="115" t="str">
        <f>IF(AND(C2="Premium",F2&gt;5000),"Yes","No")</f>
        <v>No</v>
      </c>
      <c r="I2" s="115" t="str">
        <f>IF(OR(C2="Premium",F2&gt;5000),"Yes","No")</f>
        <v>No</v>
      </c>
      <c r="J2" s="115" t="str">
        <f>IF(NOT(C2="Premium"),"Yes","No")</f>
        <v>Yes</v>
      </c>
      <c r="K2" s="103"/>
      <c r="L2" s="103"/>
      <c r="M2" s="103"/>
      <c r="N2" s="103"/>
    </row>
    <row r="3" spans="1:14" ht="30" thickTop="1" thickBot="1">
      <c r="A3" s="110">
        <v>102</v>
      </c>
      <c r="B3" s="106" t="s">
        <v>362</v>
      </c>
      <c r="C3" s="106" t="s">
        <v>53</v>
      </c>
      <c r="D3" s="106">
        <v>75000</v>
      </c>
      <c r="E3" s="106">
        <v>1</v>
      </c>
      <c r="F3" s="115">
        <f t="shared" ref="F3:F11" si="0">D3*E3</f>
        <v>75000</v>
      </c>
      <c r="G3" s="115" t="str">
        <f t="shared" ref="G3:G11" si="1">IF(F3&gt;5000,"Yes","No")</f>
        <v>Yes</v>
      </c>
      <c r="H3" s="115" t="str">
        <f t="shared" ref="H3:H11" si="2">IF(AND(C3="Premium",F3&gt;5000),"Yes","No")</f>
        <v>Yes</v>
      </c>
      <c r="I3" s="115" t="str">
        <f t="shared" ref="I3:I11" si="3">IF(OR(C3="Premium",F3&gt;5000),"Yes","No")</f>
        <v>Yes</v>
      </c>
      <c r="J3" s="115" t="str">
        <f t="shared" ref="J3:J11" si="4">IF(NOT(C3="Premium"),"Yes","No")</f>
        <v>No</v>
      </c>
      <c r="K3" s="103"/>
      <c r="L3" s="103"/>
      <c r="M3" s="103"/>
      <c r="N3" s="103"/>
    </row>
    <row r="4" spans="1:14" ht="15.5" thickTop="1" thickBot="1">
      <c r="A4" s="110">
        <v>103</v>
      </c>
      <c r="B4" s="106" t="s">
        <v>363</v>
      </c>
      <c r="C4" s="106" t="s">
        <v>55</v>
      </c>
      <c r="D4" s="106">
        <v>500</v>
      </c>
      <c r="E4" s="106">
        <v>5</v>
      </c>
      <c r="F4" s="115">
        <f t="shared" si="0"/>
        <v>2500</v>
      </c>
      <c r="G4" s="115" t="str">
        <f t="shared" si="1"/>
        <v>No</v>
      </c>
      <c r="H4" s="115" t="str">
        <f t="shared" si="2"/>
        <v>No</v>
      </c>
      <c r="I4" s="115" t="str">
        <f t="shared" si="3"/>
        <v>No</v>
      </c>
      <c r="J4" s="115" t="str">
        <f t="shared" si="4"/>
        <v>Yes</v>
      </c>
      <c r="K4" s="103"/>
      <c r="L4" s="103"/>
      <c r="M4" s="103"/>
      <c r="N4" s="103"/>
    </row>
    <row r="5" spans="1:14" ht="15.5" thickTop="1" thickBot="1">
      <c r="A5" s="110">
        <v>104</v>
      </c>
      <c r="B5" s="106" t="s">
        <v>364</v>
      </c>
      <c r="C5" s="106" t="s">
        <v>55</v>
      </c>
      <c r="D5" s="106">
        <v>1200</v>
      </c>
      <c r="E5" s="106">
        <v>3</v>
      </c>
      <c r="F5" s="115">
        <f t="shared" si="0"/>
        <v>3600</v>
      </c>
      <c r="G5" s="115" t="str">
        <f t="shared" si="1"/>
        <v>No</v>
      </c>
      <c r="H5" s="115" t="str">
        <f t="shared" si="2"/>
        <v>No</v>
      </c>
      <c r="I5" s="115" t="str">
        <f t="shared" si="3"/>
        <v>No</v>
      </c>
      <c r="J5" s="115" t="str">
        <f t="shared" si="4"/>
        <v>Yes</v>
      </c>
      <c r="K5" s="103"/>
      <c r="L5" s="103"/>
      <c r="M5" s="103"/>
      <c r="N5" s="103"/>
    </row>
    <row r="6" spans="1:14" ht="15.5" thickTop="1" thickBot="1">
      <c r="A6" s="110">
        <v>105</v>
      </c>
      <c r="B6" s="106" t="s">
        <v>365</v>
      </c>
      <c r="C6" s="106" t="s">
        <v>53</v>
      </c>
      <c r="D6" s="106">
        <v>16000</v>
      </c>
      <c r="E6" s="106">
        <v>2</v>
      </c>
      <c r="F6" s="115">
        <f t="shared" si="0"/>
        <v>32000</v>
      </c>
      <c r="G6" s="115" t="str">
        <f t="shared" si="1"/>
        <v>Yes</v>
      </c>
      <c r="H6" s="115" t="str">
        <f t="shared" si="2"/>
        <v>Yes</v>
      </c>
      <c r="I6" s="115" t="str">
        <f t="shared" si="3"/>
        <v>Yes</v>
      </c>
      <c r="J6" s="115" t="str">
        <f t="shared" si="4"/>
        <v>No</v>
      </c>
      <c r="K6" s="103"/>
      <c r="L6" s="103"/>
      <c r="M6" s="103"/>
      <c r="N6" s="103"/>
    </row>
    <row r="7" spans="1:14" ht="30" thickTop="1" thickBot="1">
      <c r="A7" s="110">
        <v>106</v>
      </c>
      <c r="B7" s="106" t="s">
        <v>366</v>
      </c>
      <c r="C7" s="106" t="s">
        <v>54</v>
      </c>
      <c r="D7" s="106">
        <v>4000</v>
      </c>
      <c r="E7" s="106">
        <v>3</v>
      </c>
      <c r="F7" s="115">
        <f t="shared" si="0"/>
        <v>12000</v>
      </c>
      <c r="G7" s="115" t="str">
        <f t="shared" si="1"/>
        <v>Yes</v>
      </c>
      <c r="H7" s="115" t="str">
        <f t="shared" si="2"/>
        <v>No</v>
      </c>
      <c r="I7" s="115" t="str">
        <f t="shared" si="3"/>
        <v>Yes</v>
      </c>
      <c r="J7" s="115" t="str">
        <f t="shared" si="4"/>
        <v>Yes</v>
      </c>
      <c r="K7" s="103"/>
      <c r="L7" s="103"/>
      <c r="M7" s="103"/>
      <c r="N7" s="103"/>
    </row>
    <row r="8" spans="1:14" ht="30" thickTop="1" thickBot="1">
      <c r="A8" s="110">
        <v>107</v>
      </c>
      <c r="B8" s="106" t="s">
        <v>367</v>
      </c>
      <c r="C8" s="106" t="s">
        <v>55</v>
      </c>
      <c r="D8" s="106">
        <v>800</v>
      </c>
      <c r="E8" s="106">
        <v>6</v>
      </c>
      <c r="F8" s="115">
        <f t="shared" si="0"/>
        <v>4800</v>
      </c>
      <c r="G8" s="115" t="str">
        <f t="shared" si="1"/>
        <v>No</v>
      </c>
      <c r="H8" s="115" t="str">
        <f t="shared" si="2"/>
        <v>No</v>
      </c>
      <c r="I8" s="115" t="str">
        <f t="shared" si="3"/>
        <v>No</v>
      </c>
      <c r="J8" s="115" t="str">
        <f t="shared" si="4"/>
        <v>Yes</v>
      </c>
      <c r="K8" s="103"/>
      <c r="L8" s="103"/>
      <c r="M8" s="103"/>
      <c r="N8" s="103"/>
    </row>
    <row r="9" spans="1:14" ht="44.5" thickTop="1" thickBot="1">
      <c r="A9" s="110">
        <v>108</v>
      </c>
      <c r="B9" s="106" t="s">
        <v>368</v>
      </c>
      <c r="C9" s="106" t="s">
        <v>53</v>
      </c>
      <c r="D9" s="106">
        <v>13000</v>
      </c>
      <c r="E9" s="106">
        <v>2</v>
      </c>
      <c r="F9" s="115">
        <f t="shared" si="0"/>
        <v>26000</v>
      </c>
      <c r="G9" s="115" t="str">
        <f t="shared" si="1"/>
        <v>Yes</v>
      </c>
      <c r="H9" s="115" t="str">
        <f t="shared" si="2"/>
        <v>Yes</v>
      </c>
      <c r="I9" s="115" t="str">
        <f t="shared" si="3"/>
        <v>Yes</v>
      </c>
      <c r="J9" s="115" t="str">
        <f t="shared" si="4"/>
        <v>No</v>
      </c>
      <c r="K9" s="103"/>
      <c r="L9" s="103"/>
      <c r="M9" s="103"/>
      <c r="N9" s="103"/>
    </row>
    <row r="10" spans="1:14" ht="15.5" thickTop="1" thickBot="1">
      <c r="A10" s="110">
        <v>109</v>
      </c>
      <c r="B10" s="106" t="s">
        <v>369</v>
      </c>
      <c r="C10" s="106" t="s">
        <v>54</v>
      </c>
      <c r="D10" s="106">
        <v>2000</v>
      </c>
      <c r="E10" s="106">
        <v>3</v>
      </c>
      <c r="F10" s="115">
        <f t="shared" si="0"/>
        <v>6000</v>
      </c>
      <c r="G10" s="115" t="str">
        <f t="shared" si="1"/>
        <v>Yes</v>
      </c>
      <c r="H10" s="115" t="str">
        <f t="shared" si="2"/>
        <v>No</v>
      </c>
      <c r="I10" s="115" t="str">
        <f t="shared" si="3"/>
        <v>Yes</v>
      </c>
      <c r="J10" s="115" t="str">
        <f t="shared" si="4"/>
        <v>Yes</v>
      </c>
      <c r="K10" s="103"/>
      <c r="L10" s="103"/>
      <c r="M10" s="103"/>
      <c r="N10" s="103"/>
    </row>
    <row r="11" spans="1:14" ht="15.5" thickTop="1" thickBot="1">
      <c r="A11" s="111">
        <v>110</v>
      </c>
      <c r="B11" s="112" t="s">
        <v>370</v>
      </c>
      <c r="C11" s="112" t="s">
        <v>55</v>
      </c>
      <c r="D11" s="112">
        <v>600</v>
      </c>
      <c r="E11" s="112">
        <v>5</v>
      </c>
      <c r="F11" s="115">
        <f t="shared" si="0"/>
        <v>3000</v>
      </c>
      <c r="G11" s="115" t="str">
        <f t="shared" si="1"/>
        <v>No</v>
      </c>
      <c r="H11" s="115" t="str">
        <f t="shared" si="2"/>
        <v>No</v>
      </c>
      <c r="I11" s="115" t="str">
        <f t="shared" si="3"/>
        <v>No</v>
      </c>
      <c r="J11" s="115" t="str">
        <f t="shared" si="4"/>
        <v>Yes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N969"/>
  <sheetViews>
    <sheetView tabSelected="1" zoomScale="95" zoomScaleNormal="130" workbookViewId="0">
      <selection activeCell="K4" sqref="K4"/>
    </sheetView>
  </sheetViews>
  <sheetFormatPr defaultColWidth="14.453125" defaultRowHeight="15" customHeight="1"/>
  <cols>
    <col min="1" max="1" width="13.36328125" customWidth="1"/>
    <col min="2" max="2" width="16.6328125" customWidth="1"/>
    <col min="3" max="3" width="9.90625" customWidth="1"/>
    <col min="4" max="4" width="9.6328125" customWidth="1"/>
    <col min="5" max="5" width="8.6328125" customWidth="1"/>
    <col min="6" max="6" width="13.08984375" customWidth="1"/>
    <col min="7" max="7" width="12" customWidth="1"/>
    <col min="8" max="8" width="12.453125" customWidth="1"/>
    <col min="9" max="9" width="16.453125" customWidth="1"/>
    <col min="10" max="10" width="18.36328125" customWidth="1"/>
    <col min="11" max="11" width="11.54296875" customWidth="1"/>
    <col min="12" max="12" width="10.6328125" customWidth="1"/>
    <col min="13" max="26" width="8.6328125" customWidth="1"/>
  </cols>
  <sheetData>
    <row r="1" spans="1:14" ht="15" customHeight="1">
      <c r="A1" s="15" t="s">
        <v>49</v>
      </c>
      <c r="B1" s="15" t="s">
        <v>58</v>
      </c>
      <c r="C1" s="15" t="s">
        <v>51</v>
      </c>
      <c r="D1" s="15" t="s">
        <v>52</v>
      </c>
      <c r="G1" s="119" t="s">
        <v>59</v>
      </c>
      <c r="H1" s="121"/>
      <c r="I1" s="16"/>
      <c r="J1" s="119" t="s">
        <v>60</v>
      </c>
      <c r="K1" s="120"/>
      <c r="L1" s="120"/>
      <c r="M1" s="121"/>
    </row>
    <row r="2" spans="1:14" ht="15" customHeight="1">
      <c r="A2" s="17" t="s">
        <v>54</v>
      </c>
      <c r="B2" s="18">
        <v>1</v>
      </c>
      <c r="C2" s="19">
        <v>700</v>
      </c>
      <c r="D2" s="18">
        <v>231</v>
      </c>
      <c r="G2" s="116" t="s">
        <v>49</v>
      </c>
      <c r="H2" s="116" t="s">
        <v>56</v>
      </c>
      <c r="I2" s="20"/>
      <c r="J2" s="21" t="s">
        <v>49</v>
      </c>
      <c r="K2" s="22" t="s">
        <v>61</v>
      </c>
      <c r="L2" s="23"/>
      <c r="M2" s="24"/>
    </row>
    <row r="3" spans="1:14" ht="15" customHeight="1">
      <c r="A3" s="17" t="s">
        <v>54</v>
      </c>
      <c r="B3" s="18">
        <v>1</v>
      </c>
      <c r="C3" s="19">
        <v>14.95</v>
      </c>
      <c r="D3" s="18">
        <v>7.4749999999999996</v>
      </c>
      <c r="G3" s="117"/>
      <c r="H3" s="117"/>
      <c r="I3" s="25"/>
      <c r="J3" s="26"/>
      <c r="K3" s="17">
        <v>1</v>
      </c>
      <c r="L3" s="17">
        <v>2</v>
      </c>
      <c r="M3" s="17">
        <v>3</v>
      </c>
      <c r="N3" s="27"/>
    </row>
    <row r="4" spans="1:14" ht="15" customHeight="1">
      <c r="A4" s="28" t="s">
        <v>53</v>
      </c>
      <c r="B4" s="29">
        <v>2</v>
      </c>
      <c r="C4" s="30">
        <v>11.99</v>
      </c>
      <c r="D4" s="18">
        <v>5.9950000000000001</v>
      </c>
      <c r="G4" s="17" t="s">
        <v>53</v>
      </c>
      <c r="H4" s="31"/>
      <c r="I4" s="25"/>
      <c r="J4" s="17" t="s">
        <v>53</v>
      </c>
      <c r="K4" s="32"/>
      <c r="L4" s="32"/>
      <c r="M4" s="32"/>
      <c r="N4" s="33"/>
    </row>
    <row r="5" spans="1:14" ht="15" customHeight="1">
      <c r="A5" s="17" t="s">
        <v>55</v>
      </c>
      <c r="B5" s="18">
        <v>1</v>
      </c>
      <c r="C5" s="19">
        <v>149.99</v>
      </c>
      <c r="D5" s="18">
        <v>97.493499999999997</v>
      </c>
      <c r="E5" s="61"/>
      <c r="G5" s="17" t="s">
        <v>54</v>
      </c>
      <c r="H5" s="31"/>
      <c r="I5" s="25"/>
      <c r="J5" s="17" t="s">
        <v>54</v>
      </c>
      <c r="K5" s="32"/>
      <c r="L5" s="32"/>
      <c r="M5" s="32"/>
    </row>
    <row r="6" spans="1:14" ht="15" customHeight="1">
      <c r="A6" s="17" t="s">
        <v>55</v>
      </c>
      <c r="B6" s="18">
        <v>1</v>
      </c>
      <c r="C6" s="19">
        <v>11.99</v>
      </c>
      <c r="D6" s="18">
        <v>5.9950000000000001</v>
      </c>
      <c r="E6" s="14"/>
      <c r="F6" s="19"/>
      <c r="G6" s="17" t="s">
        <v>55</v>
      </c>
      <c r="H6" s="31"/>
      <c r="I6" s="34"/>
      <c r="J6" s="17" t="s">
        <v>55</v>
      </c>
      <c r="K6" s="32"/>
      <c r="L6" s="32"/>
      <c r="M6" s="32"/>
    </row>
    <row r="7" spans="1:14" ht="15" customHeight="1">
      <c r="A7" s="28" t="s">
        <v>53</v>
      </c>
      <c r="B7" s="29">
        <v>1</v>
      </c>
      <c r="C7" s="30">
        <v>2.99</v>
      </c>
      <c r="D7" s="18">
        <v>1.4950000000000001</v>
      </c>
    </row>
    <row r="8" spans="1:14" ht="15" customHeight="1">
      <c r="A8" s="17" t="s">
        <v>54</v>
      </c>
      <c r="B8" s="18">
        <v>1</v>
      </c>
      <c r="C8" s="19">
        <v>389.99</v>
      </c>
      <c r="D8" s="18">
        <v>128.69669999999999</v>
      </c>
      <c r="F8" s="61"/>
      <c r="G8" s="119" t="s">
        <v>62</v>
      </c>
      <c r="H8" s="121"/>
      <c r="I8" s="35"/>
      <c r="J8" s="119" t="s">
        <v>63</v>
      </c>
      <c r="K8" s="120"/>
      <c r="L8" s="120"/>
      <c r="M8" s="121"/>
    </row>
    <row r="9" spans="1:14" ht="15" customHeight="1">
      <c r="A9" s="17" t="s">
        <v>54</v>
      </c>
      <c r="B9" s="18">
        <v>1</v>
      </c>
      <c r="C9" s="19">
        <v>11.95</v>
      </c>
      <c r="D9" s="18">
        <v>5.9749999999999996</v>
      </c>
      <c r="E9" s="14"/>
      <c r="G9" s="116" t="s">
        <v>49</v>
      </c>
      <c r="H9" s="116" t="s">
        <v>64</v>
      </c>
      <c r="I9" s="36"/>
      <c r="J9" s="21" t="s">
        <v>49</v>
      </c>
      <c r="K9" s="22" t="s">
        <v>61</v>
      </c>
      <c r="L9" s="23"/>
      <c r="M9" s="24"/>
    </row>
    <row r="10" spans="1:14" ht="15" customHeight="1">
      <c r="A10" s="17" t="s">
        <v>55</v>
      </c>
      <c r="B10" s="18">
        <v>1</v>
      </c>
      <c r="C10" s="19">
        <v>99.99</v>
      </c>
      <c r="D10" s="18">
        <v>49.994999999999997</v>
      </c>
      <c r="G10" s="117"/>
      <c r="H10" s="117"/>
      <c r="I10" s="37"/>
      <c r="J10" s="26"/>
      <c r="K10" s="17">
        <v>1</v>
      </c>
      <c r="L10" s="17">
        <v>2</v>
      </c>
      <c r="M10" s="17">
        <v>3</v>
      </c>
    </row>
    <row r="11" spans="1:14" ht="15" customHeight="1">
      <c r="A11" s="17" t="s">
        <v>55</v>
      </c>
      <c r="B11" s="18">
        <v>1</v>
      </c>
      <c r="C11" s="19">
        <v>150</v>
      </c>
      <c r="D11" s="18">
        <v>97.5</v>
      </c>
      <c r="G11" s="17" t="s">
        <v>53</v>
      </c>
      <c r="H11" s="31"/>
      <c r="I11" s="38"/>
      <c r="J11" s="17" t="s">
        <v>53</v>
      </c>
      <c r="K11" s="31"/>
      <c r="L11" s="31"/>
      <c r="M11" s="31"/>
    </row>
    <row r="12" spans="1:14" ht="15" customHeight="1">
      <c r="A12" s="17" t="s">
        <v>54</v>
      </c>
      <c r="B12" s="18">
        <v>1</v>
      </c>
      <c r="C12" s="19">
        <v>150</v>
      </c>
      <c r="D12" s="18">
        <v>97.5</v>
      </c>
      <c r="G12" s="17" t="s">
        <v>54</v>
      </c>
      <c r="H12" s="31"/>
      <c r="I12" s="38"/>
      <c r="J12" s="17" t="s">
        <v>54</v>
      </c>
      <c r="K12" s="31"/>
      <c r="L12" s="31"/>
      <c r="M12" s="31"/>
    </row>
    <row r="13" spans="1:14" ht="15" customHeight="1">
      <c r="A13" s="28" t="s">
        <v>53</v>
      </c>
      <c r="B13" s="29">
        <v>1</v>
      </c>
      <c r="C13" s="30">
        <v>1700</v>
      </c>
      <c r="D13" s="18">
        <v>561</v>
      </c>
      <c r="G13" s="17" t="s">
        <v>55</v>
      </c>
      <c r="H13" s="31"/>
      <c r="I13" s="38"/>
      <c r="J13" s="17" t="s">
        <v>55</v>
      </c>
      <c r="K13" s="31"/>
      <c r="L13" s="31"/>
      <c r="M13" s="31"/>
    </row>
    <row r="14" spans="1:14" ht="15" customHeight="1">
      <c r="A14" s="17" t="s">
        <v>55</v>
      </c>
      <c r="B14" s="18">
        <v>3</v>
      </c>
      <c r="C14" s="19">
        <v>2.99</v>
      </c>
      <c r="D14" s="18">
        <v>1.4950000000000001</v>
      </c>
      <c r="I14" s="39"/>
    </row>
    <row r="15" spans="1:14" ht="15" customHeight="1">
      <c r="A15" s="17" t="s">
        <v>54</v>
      </c>
      <c r="B15" s="18">
        <v>1</v>
      </c>
      <c r="C15" s="19">
        <v>149.99</v>
      </c>
      <c r="D15" s="18">
        <v>97.493499999999997</v>
      </c>
      <c r="G15" s="119" t="s">
        <v>65</v>
      </c>
      <c r="H15" s="121"/>
      <c r="I15" s="40"/>
      <c r="J15" s="119" t="s">
        <v>66</v>
      </c>
      <c r="K15" s="120"/>
      <c r="L15" s="120"/>
      <c r="M15" s="121"/>
    </row>
    <row r="16" spans="1:14" ht="15" customHeight="1">
      <c r="A16" s="28" t="s">
        <v>53</v>
      </c>
      <c r="B16" s="29">
        <v>1</v>
      </c>
      <c r="C16" s="30">
        <v>300</v>
      </c>
      <c r="D16" s="18">
        <v>99</v>
      </c>
      <c r="G16" s="116" t="s">
        <v>49</v>
      </c>
      <c r="H16" s="118" t="s">
        <v>57</v>
      </c>
      <c r="I16" s="41"/>
      <c r="J16" s="21" t="s">
        <v>49</v>
      </c>
      <c r="K16" s="22" t="s">
        <v>61</v>
      </c>
      <c r="L16" s="23"/>
      <c r="M16" s="24"/>
    </row>
    <row r="17" spans="1:13" ht="15" customHeight="1">
      <c r="A17" s="28" t="s">
        <v>53</v>
      </c>
      <c r="B17" s="29">
        <v>1</v>
      </c>
      <c r="C17" s="30">
        <v>149.99</v>
      </c>
      <c r="D17" s="18">
        <v>97.493499999999997</v>
      </c>
      <c r="G17" s="117"/>
      <c r="H17" s="117"/>
      <c r="I17" s="37"/>
      <c r="J17" s="26"/>
      <c r="K17" s="17">
        <v>1</v>
      </c>
      <c r="L17" s="17">
        <v>2</v>
      </c>
      <c r="M17" s="17">
        <v>3</v>
      </c>
    </row>
    <row r="18" spans="1:13" ht="15" customHeight="1">
      <c r="A18" s="17" t="s">
        <v>54</v>
      </c>
      <c r="B18" s="18">
        <v>1</v>
      </c>
      <c r="C18" s="19">
        <v>400</v>
      </c>
      <c r="D18" s="18">
        <v>132</v>
      </c>
      <c r="G18" s="17" t="s">
        <v>53</v>
      </c>
      <c r="H18" s="31"/>
      <c r="I18" s="38"/>
      <c r="J18" s="17" t="s">
        <v>53</v>
      </c>
      <c r="K18" s="31"/>
      <c r="L18" s="31"/>
      <c r="M18" s="31"/>
    </row>
    <row r="19" spans="1:13" ht="15" customHeight="1">
      <c r="G19" s="17" t="s">
        <v>54</v>
      </c>
      <c r="H19" s="31"/>
      <c r="I19" s="38"/>
      <c r="J19" s="17" t="s">
        <v>54</v>
      </c>
      <c r="K19" s="31"/>
      <c r="L19" s="31"/>
      <c r="M19" s="31"/>
    </row>
    <row r="20" spans="1:13" ht="15" customHeight="1">
      <c r="G20" s="17" t="s">
        <v>55</v>
      </c>
      <c r="H20" s="31"/>
      <c r="I20" s="38"/>
      <c r="J20" s="17" t="s">
        <v>55</v>
      </c>
      <c r="K20" s="31"/>
      <c r="L20" s="31"/>
      <c r="M20" s="31"/>
    </row>
    <row r="21" spans="1:13" ht="15.75" customHeight="1"/>
    <row r="22" spans="1:13" ht="15.75" customHeight="1"/>
    <row r="23" spans="1:13" ht="15.75" customHeight="1"/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customSheetViews>
    <customSheetView guid="{06BAD8CE-1DBC-44C9-B316-806B0B5B5BBC}" scale="85">
      <selection activeCell="L13" sqref="L13"/>
      <pageMargins left="0.7" right="0.7" top="0.75" bottom="0.75" header="0" footer="0"/>
      <pageSetup orientation="landscape"/>
    </customSheetView>
    <customSheetView guid="{586EE853-6E53-4973-9818-E4AB447301FE}" scale="85">
      <selection activeCell="L13" sqref="L13"/>
      <pageMargins left="0.7" right="0.7" top="0.75" bottom="0.75" header="0" footer="0"/>
      <pageSetup orientation="landscape"/>
    </customSheetView>
  </customSheetViews>
  <mergeCells count="12">
    <mergeCell ref="G1:H1"/>
    <mergeCell ref="J1:M1"/>
    <mergeCell ref="G2:G3"/>
    <mergeCell ref="H2:H3"/>
    <mergeCell ref="G8:H8"/>
    <mergeCell ref="J8:M8"/>
    <mergeCell ref="G16:G17"/>
    <mergeCell ref="H16:H17"/>
    <mergeCell ref="G9:G10"/>
    <mergeCell ref="J15:M15"/>
    <mergeCell ref="H9:H10"/>
    <mergeCell ref="G15:H15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D4:K1000"/>
  <sheetViews>
    <sheetView topLeftCell="A3" workbookViewId="0">
      <selection activeCell="K6" sqref="K6"/>
    </sheetView>
  </sheetViews>
  <sheetFormatPr defaultColWidth="14.453125" defaultRowHeight="15" customHeight="1"/>
  <cols>
    <col min="1" max="3" width="8.6328125" customWidth="1"/>
    <col min="4" max="4" width="13.08984375" customWidth="1"/>
    <col min="5" max="5" width="8.6328125" customWidth="1"/>
    <col min="6" max="7" width="15.54296875" customWidth="1"/>
    <col min="8" max="8" width="8.6328125" customWidth="1"/>
    <col min="9" max="9" width="12.453125" customWidth="1"/>
    <col min="10" max="11" width="10.453125" customWidth="1"/>
    <col min="12" max="26" width="8.6328125" customWidth="1"/>
  </cols>
  <sheetData>
    <row r="4" spans="4:11" ht="14.5">
      <c r="D4" s="3" t="s">
        <v>71</v>
      </c>
    </row>
    <row r="5" spans="4:11" ht="14.5">
      <c r="D5" s="3" t="s">
        <v>72</v>
      </c>
      <c r="F5" s="43"/>
      <c r="J5" s="43"/>
    </row>
    <row r="6" spans="4:11" ht="14.5">
      <c r="D6" s="3" t="s">
        <v>73</v>
      </c>
      <c r="F6" s="42"/>
      <c r="G6" s="43"/>
      <c r="H6" s="4"/>
      <c r="I6" s="4"/>
      <c r="J6" s="43"/>
      <c r="K6" s="43"/>
    </row>
    <row r="7" spans="4:11" ht="14.5">
      <c r="D7" s="3" t="s">
        <v>74</v>
      </c>
      <c r="F7" s="43"/>
      <c r="G7" s="42"/>
      <c r="H7" s="4"/>
      <c r="I7" s="4"/>
    </row>
    <row r="8" spans="4:11" ht="14.5">
      <c r="D8" s="3" t="s">
        <v>75</v>
      </c>
      <c r="F8" s="44"/>
      <c r="H8" s="4"/>
      <c r="I8" s="4"/>
    </row>
    <row r="9" spans="4:11" ht="14.5">
      <c r="D9" s="3" t="s">
        <v>76</v>
      </c>
      <c r="F9" s="3" t="s">
        <v>73</v>
      </c>
      <c r="G9" s="43"/>
      <c r="J9" s="43"/>
    </row>
    <row r="10" spans="4:11" ht="14.5">
      <c r="D10" s="3" t="s">
        <v>77</v>
      </c>
      <c r="F10" s="45" t="s">
        <v>78</v>
      </c>
      <c r="G10" s="44"/>
    </row>
    <row r="11" spans="4:11" ht="14.5">
      <c r="D11" s="3" t="s">
        <v>79</v>
      </c>
    </row>
    <row r="12" spans="4:11" ht="14.5">
      <c r="D12" s="3" t="s">
        <v>80</v>
      </c>
      <c r="H12" s="3"/>
      <c r="I12" s="4"/>
      <c r="K12" s="43"/>
    </row>
    <row r="13" spans="4:11" ht="14.5">
      <c r="D13" s="3" t="s">
        <v>81</v>
      </c>
      <c r="H13" s="3"/>
      <c r="I13" s="4"/>
    </row>
    <row r="14" spans="4:11" ht="14.5">
      <c r="H14" s="3"/>
      <c r="I14" s="4"/>
      <c r="K14" s="43"/>
    </row>
    <row r="15" spans="4:11" ht="14.5">
      <c r="K15" s="43"/>
    </row>
    <row r="17" spans="5:10" ht="14.5">
      <c r="F17" s="4"/>
      <c r="G17" s="4"/>
    </row>
    <row r="18" spans="5:10" ht="14.5">
      <c r="F18" s="43"/>
      <c r="G18" s="4"/>
      <c r="J18" s="43"/>
    </row>
    <row r="19" spans="5:10" ht="14.5">
      <c r="F19" s="43"/>
      <c r="G19" s="4"/>
    </row>
    <row r="20" spans="5:10" ht="14.5">
      <c r="F20" s="43"/>
      <c r="G20" s="4"/>
    </row>
    <row r="21" spans="5:10" ht="15.75" customHeight="1">
      <c r="J21" s="4"/>
    </row>
    <row r="22" spans="5:10" ht="15.75" customHeight="1">
      <c r="J22" s="4"/>
    </row>
    <row r="23" spans="5:10" ht="15.75" customHeight="1">
      <c r="E23" s="4"/>
      <c r="F23" s="43"/>
      <c r="H23" s="4"/>
    </row>
    <row r="24" spans="5:10" ht="15.75" customHeight="1">
      <c r="E24" s="4"/>
      <c r="F24" s="43"/>
    </row>
    <row r="25" spans="5:10" ht="15.75" customHeight="1">
      <c r="F25" s="43"/>
    </row>
    <row r="26" spans="5:10" ht="15.75" customHeight="1"/>
    <row r="27" spans="5:10" ht="15.75" customHeight="1"/>
    <row r="28" spans="5:10" ht="15.75" customHeight="1"/>
    <row r="29" spans="5:10" ht="15.75" customHeight="1"/>
    <row r="30" spans="5:10" ht="15.75" customHeight="1"/>
    <row r="31" spans="5:10" ht="15.75" customHeight="1"/>
    <row r="32" spans="5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6BAD8CE-1DBC-44C9-B316-806B0B5B5BBC}">
      <selection activeCell="K6" sqref="K6"/>
      <pageMargins left="0.7" right="0.7" top="0.75" bottom="0.75" header="0" footer="0"/>
      <pageSetup orientation="landscape"/>
    </customSheetView>
    <customSheetView guid="{586EE853-6E53-4973-9818-E4AB447301FE}">
      <selection activeCell="K6" sqref="K6"/>
      <pageMargins left="0.7" right="0.7" top="0.75" bottom="0.75" header="0" footer="0"/>
      <pageSetup orientation="landscape"/>
    </customSheetView>
  </customSheetView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B33"/>
  <sheetViews>
    <sheetView workbookViewId="0">
      <selection activeCell="D11" sqref="D11"/>
    </sheetView>
  </sheetViews>
  <sheetFormatPr defaultRowHeight="14.5"/>
  <cols>
    <col min="1" max="1" width="15.36328125" bestFit="1" customWidth="1"/>
    <col min="2" max="2" width="30.6328125" bestFit="1" customWidth="1"/>
  </cols>
  <sheetData>
    <row r="1" spans="1:2">
      <c r="A1" s="55" t="s">
        <v>127</v>
      </c>
      <c r="B1" s="56" t="s">
        <v>128</v>
      </c>
    </row>
    <row r="2" spans="1:2">
      <c r="A2" s="57" t="s">
        <v>129</v>
      </c>
      <c r="B2" s="57" t="s">
        <v>130</v>
      </c>
    </row>
    <row r="3" spans="1:2">
      <c r="A3" s="57" t="s">
        <v>131</v>
      </c>
      <c r="B3" s="57" t="s">
        <v>132</v>
      </c>
    </row>
    <row r="4" spans="1:2">
      <c r="A4" s="57" t="s">
        <v>133</v>
      </c>
      <c r="B4" s="57" t="s">
        <v>134</v>
      </c>
    </row>
    <row r="5" spans="1:2" ht="29">
      <c r="A5" s="58" t="s">
        <v>135</v>
      </c>
      <c r="B5" s="57" t="s">
        <v>136</v>
      </c>
    </row>
    <row r="6" spans="1:2" ht="29">
      <c r="A6" s="58" t="s">
        <v>137</v>
      </c>
      <c r="B6" s="57" t="s">
        <v>138</v>
      </c>
    </row>
    <row r="7" spans="1:2">
      <c r="A7" s="57" t="s">
        <v>139</v>
      </c>
      <c r="B7" s="57" t="s">
        <v>140</v>
      </c>
    </row>
    <row r="8" spans="1:2">
      <c r="A8" s="57" t="s">
        <v>141</v>
      </c>
      <c r="B8" s="57" t="s">
        <v>142</v>
      </c>
    </row>
    <row r="9" spans="1:2">
      <c r="A9" s="59" t="s">
        <v>143</v>
      </c>
      <c r="B9" s="57" t="s">
        <v>144</v>
      </c>
    </row>
    <row r="10" spans="1:2">
      <c r="A10" s="46" t="s">
        <v>145</v>
      </c>
      <c r="B10" s="57" t="s">
        <v>146</v>
      </c>
    </row>
    <row r="11" spans="1:2">
      <c r="A11" s="46" t="s">
        <v>147</v>
      </c>
      <c r="B11" s="57" t="s">
        <v>148</v>
      </c>
    </row>
    <row r="12" spans="1:2">
      <c r="A12" s="46" t="s">
        <v>149</v>
      </c>
      <c r="B12" s="57" t="s">
        <v>150</v>
      </c>
    </row>
    <row r="13" spans="1:2">
      <c r="A13" s="46" t="s">
        <v>151</v>
      </c>
      <c r="B13" s="57" t="s">
        <v>152</v>
      </c>
    </row>
    <row r="14" spans="1:2">
      <c r="A14" s="46" t="s">
        <v>153</v>
      </c>
      <c r="B14" s="57" t="s">
        <v>154</v>
      </c>
    </row>
    <row r="15" spans="1:2">
      <c r="A15" s="46" t="s">
        <v>155</v>
      </c>
      <c r="B15" s="57" t="s">
        <v>156</v>
      </c>
    </row>
    <row r="16" spans="1:2">
      <c r="A16" s="46" t="s">
        <v>157</v>
      </c>
      <c r="B16" s="57" t="s">
        <v>158</v>
      </c>
    </row>
    <row r="17" spans="1:2">
      <c r="A17" s="46" t="s">
        <v>159</v>
      </c>
      <c r="B17" s="57" t="s">
        <v>160</v>
      </c>
    </row>
    <row r="18" spans="1:2">
      <c r="A18" s="46" t="s">
        <v>161</v>
      </c>
      <c r="B18" s="57" t="s">
        <v>162</v>
      </c>
    </row>
    <row r="19" spans="1:2">
      <c r="A19" s="46" t="s">
        <v>163</v>
      </c>
      <c r="B19" s="57" t="s">
        <v>164</v>
      </c>
    </row>
    <row r="20" spans="1:2">
      <c r="A20" s="46" t="s">
        <v>165</v>
      </c>
      <c r="B20" s="57" t="s">
        <v>166</v>
      </c>
    </row>
    <row r="21" spans="1:2">
      <c r="A21" s="46" t="s">
        <v>167</v>
      </c>
      <c r="B21" s="57" t="s">
        <v>168</v>
      </c>
    </row>
    <row r="22" spans="1:2">
      <c r="A22" s="46" t="s">
        <v>169</v>
      </c>
      <c r="B22" s="57" t="s">
        <v>170</v>
      </c>
    </row>
    <row r="23" spans="1:2">
      <c r="A23" s="46" t="s">
        <v>171</v>
      </c>
      <c r="B23" s="57" t="s">
        <v>172</v>
      </c>
    </row>
    <row r="24" spans="1:2">
      <c r="A24" s="46" t="s">
        <v>173</v>
      </c>
      <c r="B24" s="57" t="s">
        <v>174</v>
      </c>
    </row>
    <row r="25" spans="1:2">
      <c r="A25" s="46" t="s">
        <v>175</v>
      </c>
      <c r="B25" s="57" t="s">
        <v>176</v>
      </c>
    </row>
    <row r="26" spans="1:2">
      <c r="A26" s="46" t="s">
        <v>177</v>
      </c>
      <c r="B26" s="57" t="s">
        <v>92</v>
      </c>
    </row>
    <row r="27" spans="1:2">
      <c r="A27" s="46" t="s">
        <v>178</v>
      </c>
      <c r="B27" s="57" t="s">
        <v>179</v>
      </c>
    </row>
    <row r="28" spans="1:2" ht="29">
      <c r="A28" s="58" t="s">
        <v>180</v>
      </c>
      <c r="B28" s="57" t="s">
        <v>181</v>
      </c>
    </row>
    <row r="29" spans="1:2">
      <c r="A29" s="46" t="s">
        <v>182</v>
      </c>
      <c r="B29" s="57" t="s">
        <v>183</v>
      </c>
    </row>
    <row r="30" spans="1:2">
      <c r="A30" s="46" t="s">
        <v>184</v>
      </c>
      <c r="B30" s="57" t="s">
        <v>185</v>
      </c>
    </row>
    <row r="31" spans="1:2">
      <c r="A31" s="46" t="s">
        <v>186</v>
      </c>
      <c r="B31" s="57" t="s">
        <v>18</v>
      </c>
    </row>
    <row r="32" spans="1:2">
      <c r="A32" s="46" t="s">
        <v>187</v>
      </c>
      <c r="B32" s="57" t="s">
        <v>188</v>
      </c>
    </row>
    <row r="33" spans="1:2">
      <c r="A33" s="46" t="s">
        <v>189</v>
      </c>
      <c r="B33" s="57" t="s">
        <v>190</v>
      </c>
    </row>
  </sheetData>
  <customSheetViews>
    <customSheetView guid="{06BAD8CE-1DBC-44C9-B316-806B0B5B5BBC}" topLeftCell="A20">
      <selection activeCell="B34" sqref="B34"/>
      <pageMargins left="0.7" right="0.7" top="0.75" bottom="0.75" header="0.3" footer="0.3"/>
    </customSheetView>
    <customSheetView guid="{586EE853-6E53-4973-9818-E4AB447301FE}" topLeftCell="A20">
      <selection activeCell="B34" sqref="B3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K178"/>
  <sheetViews>
    <sheetView topLeftCell="A182" workbookViewId="0">
      <selection activeCell="E199" sqref="E199"/>
    </sheetView>
  </sheetViews>
  <sheetFormatPr defaultRowHeight="14.5"/>
  <cols>
    <col min="2" max="2" width="21.90625" customWidth="1"/>
    <col min="3" max="3" width="17" customWidth="1"/>
    <col min="4" max="4" width="10.36328125" customWidth="1"/>
    <col min="5" max="5" width="13.08984375" bestFit="1" customWidth="1"/>
  </cols>
  <sheetData>
    <row r="1" spans="1:6" ht="21">
      <c r="C1" s="122" t="s">
        <v>192</v>
      </c>
      <c r="D1" s="122"/>
      <c r="E1" s="122"/>
      <c r="F1" s="122"/>
    </row>
    <row r="2" spans="1:6">
      <c r="A2" s="62">
        <v>1</v>
      </c>
      <c r="B2" t="s">
        <v>193</v>
      </c>
    </row>
    <row r="3" spans="1:6">
      <c r="A3" s="62">
        <v>2</v>
      </c>
      <c r="B3" t="s">
        <v>194</v>
      </c>
    </row>
    <row r="4" spans="1:6">
      <c r="A4" s="62">
        <v>3</v>
      </c>
      <c r="B4" t="s">
        <v>195</v>
      </c>
    </row>
    <row r="5" spans="1:6">
      <c r="A5" s="62">
        <v>4</v>
      </c>
      <c r="B5" t="s">
        <v>196</v>
      </c>
    </row>
    <row r="6" spans="1:6">
      <c r="A6" s="62">
        <v>5</v>
      </c>
      <c r="B6" t="s">
        <v>197</v>
      </c>
    </row>
    <row r="7" spans="1:6">
      <c r="A7" s="62">
        <v>6</v>
      </c>
      <c r="B7" t="s">
        <v>198</v>
      </c>
    </row>
    <row r="9" spans="1:6" ht="17">
      <c r="B9" s="63" t="s">
        <v>193</v>
      </c>
    </row>
    <row r="11" spans="1:6">
      <c r="A11" s="64">
        <v>1</v>
      </c>
      <c r="B11" s="83" t="s">
        <v>199</v>
      </c>
      <c r="C11" t="s">
        <v>200</v>
      </c>
    </row>
    <row r="12" spans="1:6">
      <c r="A12" s="64">
        <v>2</v>
      </c>
      <c r="B12" t="s">
        <v>64</v>
      </c>
      <c r="C12" t="s">
        <v>201</v>
      </c>
    </row>
    <row r="13" spans="1:6">
      <c r="A13" s="64">
        <v>3</v>
      </c>
      <c r="B13" t="s">
        <v>50</v>
      </c>
      <c r="C13" t="s">
        <v>202</v>
      </c>
    </row>
    <row r="14" spans="1:6">
      <c r="A14" s="64">
        <v>4</v>
      </c>
      <c r="B14" t="s">
        <v>203</v>
      </c>
      <c r="C14" t="s">
        <v>204</v>
      </c>
    </row>
    <row r="15" spans="1:6">
      <c r="A15" s="64">
        <v>5</v>
      </c>
      <c r="B15" t="s">
        <v>205</v>
      </c>
      <c r="C15" t="s">
        <v>206</v>
      </c>
    </row>
    <row r="16" spans="1:6">
      <c r="A16" s="64">
        <v>6</v>
      </c>
      <c r="B16" t="s">
        <v>207</v>
      </c>
      <c r="C16" t="s">
        <v>208</v>
      </c>
    </row>
    <row r="17" spans="1:6">
      <c r="A17" s="64">
        <v>7</v>
      </c>
      <c r="B17" t="s">
        <v>209</v>
      </c>
      <c r="C17" t="s">
        <v>210</v>
      </c>
    </row>
    <row r="18" spans="1:6">
      <c r="A18" s="64">
        <v>8</v>
      </c>
      <c r="B18" t="s">
        <v>211</v>
      </c>
      <c r="C18" t="s">
        <v>212</v>
      </c>
    </row>
    <row r="19" spans="1:6">
      <c r="A19" s="64">
        <v>9</v>
      </c>
      <c r="B19" t="s">
        <v>213</v>
      </c>
      <c r="C19" t="s">
        <v>214</v>
      </c>
    </row>
    <row r="20" spans="1:6">
      <c r="A20" s="64">
        <v>10</v>
      </c>
      <c r="B20" t="s">
        <v>215</v>
      </c>
      <c r="C20" t="s">
        <v>216</v>
      </c>
    </row>
    <row r="21" spans="1:6">
      <c r="A21" s="64">
        <v>11</v>
      </c>
      <c r="B21" t="s">
        <v>217</v>
      </c>
      <c r="C21" t="s">
        <v>218</v>
      </c>
    </row>
    <row r="23" spans="1:6">
      <c r="D23" s="65" t="s">
        <v>191</v>
      </c>
      <c r="E23" s="65" t="s">
        <v>83</v>
      </c>
      <c r="F23" s="65" t="s">
        <v>0</v>
      </c>
    </row>
    <row r="24" spans="1:6">
      <c r="D24" s="64">
        <v>2005</v>
      </c>
      <c r="E24" s="64" t="s">
        <v>219</v>
      </c>
      <c r="F24" s="64">
        <v>1200</v>
      </c>
    </row>
    <row r="25" spans="1:6">
      <c r="D25" s="64">
        <v>2006</v>
      </c>
      <c r="E25" s="64" t="s">
        <v>220</v>
      </c>
      <c r="F25" s="64">
        <v>1250</v>
      </c>
    </row>
    <row r="26" spans="1:6">
      <c r="D26" s="64">
        <v>2007</v>
      </c>
      <c r="E26" s="64" t="s">
        <v>221</v>
      </c>
      <c r="F26" s="64">
        <v>1250</v>
      </c>
    </row>
    <row r="27" spans="1:6">
      <c r="D27" s="64">
        <v>2008</v>
      </c>
      <c r="E27" s="64" t="s">
        <v>222</v>
      </c>
      <c r="F27" s="64">
        <v>2500</v>
      </c>
    </row>
    <row r="28" spans="1:6">
      <c r="D28" s="64">
        <v>2009</v>
      </c>
      <c r="E28" s="64" t="s">
        <v>219</v>
      </c>
      <c r="F28" s="64">
        <v>1450</v>
      </c>
    </row>
    <row r="29" spans="1:6">
      <c r="D29" s="64">
        <v>2010</v>
      </c>
      <c r="E29" s="64" t="s">
        <v>220</v>
      </c>
      <c r="F29" s="64">
        <v>2300</v>
      </c>
    </row>
    <row r="30" spans="1:6">
      <c r="D30" s="64">
        <v>2011</v>
      </c>
      <c r="E30" s="64" t="s">
        <v>222</v>
      </c>
      <c r="F30" s="64">
        <v>2000</v>
      </c>
    </row>
    <row r="32" spans="1:6">
      <c r="C32" s="66" t="s">
        <v>199</v>
      </c>
      <c r="D32" t="s">
        <v>223</v>
      </c>
      <c r="F32" s="67">
        <f>SUM(F24:F30)</f>
        <v>11950</v>
      </c>
    </row>
    <row r="33" spans="3:11">
      <c r="C33" s="66" t="s">
        <v>64</v>
      </c>
      <c r="D33" t="s">
        <v>224</v>
      </c>
      <c r="F33" s="67">
        <f>AVERAGE(F24:F30)</f>
        <v>1707.1428571428571</v>
      </c>
    </row>
    <row r="34" spans="3:11">
      <c r="C34" s="66" t="s">
        <v>203</v>
      </c>
      <c r="D34" t="s">
        <v>225</v>
      </c>
      <c r="F34" s="67">
        <f>MIN(F24:F30)</f>
        <v>1200</v>
      </c>
    </row>
    <row r="35" spans="3:11">
      <c r="C35" s="66" t="s">
        <v>205</v>
      </c>
      <c r="D35" t="s">
        <v>226</v>
      </c>
      <c r="F35" s="67">
        <f>MAX(F24:F30)</f>
        <v>2500</v>
      </c>
    </row>
    <row r="36" spans="3:11">
      <c r="C36" s="66" t="s">
        <v>213</v>
      </c>
      <c r="F36" s="67">
        <f>SQRT(121)</f>
        <v>11</v>
      </c>
    </row>
    <row r="37" spans="3:11">
      <c r="C37" s="66" t="s">
        <v>215</v>
      </c>
      <c r="F37" s="67">
        <f>POWER(5,4)</f>
        <v>625</v>
      </c>
    </row>
    <row r="38" spans="3:11">
      <c r="C38" s="66" t="s">
        <v>217</v>
      </c>
      <c r="F38" s="67">
        <f>ROUND(12.3652524,3)</f>
        <v>12.365</v>
      </c>
    </row>
    <row r="39" spans="3:11">
      <c r="C39" s="66" t="s">
        <v>211</v>
      </c>
      <c r="F39" s="67">
        <f>ABS(-11)</f>
        <v>11</v>
      </c>
    </row>
    <row r="40" spans="3:11">
      <c r="C40" s="66" t="s">
        <v>207</v>
      </c>
      <c r="F40" s="67">
        <f>COUNT(I41:K41)</f>
        <v>2</v>
      </c>
      <c r="H40" t="s">
        <v>227</v>
      </c>
      <c r="I40" t="s">
        <v>228</v>
      </c>
      <c r="J40" t="s">
        <v>229</v>
      </c>
      <c r="K40" t="s">
        <v>230</v>
      </c>
    </row>
    <row r="41" spans="3:11">
      <c r="C41" s="66" t="s">
        <v>209</v>
      </c>
      <c r="F41" s="67">
        <f>COUNTBLANK(H41:H48)</f>
        <v>3</v>
      </c>
      <c r="H41">
        <v>2</v>
      </c>
      <c r="I41" t="s">
        <v>231</v>
      </c>
      <c r="J41">
        <v>85</v>
      </c>
      <c r="K41">
        <v>52</v>
      </c>
    </row>
    <row r="43" spans="3:11">
      <c r="H43">
        <v>1</v>
      </c>
    </row>
    <row r="44" spans="3:11">
      <c r="H44">
        <v>2</v>
      </c>
    </row>
    <row r="46" spans="3:11">
      <c r="H46" t="s">
        <v>231</v>
      </c>
    </row>
    <row r="48" spans="3:11">
      <c r="H48">
        <v>3</v>
      </c>
    </row>
    <row r="50" spans="2:3" ht="18.5">
      <c r="B50" s="68" t="s">
        <v>232</v>
      </c>
    </row>
    <row r="53" spans="2:3">
      <c r="B53" t="s">
        <v>2</v>
      </c>
      <c r="C53" t="s">
        <v>233</v>
      </c>
    </row>
    <row r="54" spans="2:3">
      <c r="B54" t="s">
        <v>3</v>
      </c>
      <c r="C54" t="s">
        <v>234</v>
      </c>
    </row>
    <row r="55" spans="2:3">
      <c r="B55" t="s">
        <v>4</v>
      </c>
      <c r="C55" t="s">
        <v>235</v>
      </c>
    </row>
    <row r="56" spans="2:3">
      <c r="B56" t="s">
        <v>236</v>
      </c>
      <c r="C56" t="s">
        <v>237</v>
      </c>
    </row>
    <row r="57" spans="2:3">
      <c r="B57" t="s">
        <v>8</v>
      </c>
      <c r="C57" t="s">
        <v>238</v>
      </c>
    </row>
    <row r="58" spans="2:3">
      <c r="B58" t="s">
        <v>5</v>
      </c>
      <c r="C58" t="s">
        <v>239</v>
      </c>
    </row>
    <row r="59" spans="2:3">
      <c r="B59" t="s">
        <v>6</v>
      </c>
      <c r="C59" t="s">
        <v>240</v>
      </c>
    </row>
    <row r="60" spans="2:3">
      <c r="B60" t="s">
        <v>7</v>
      </c>
      <c r="C60" t="s">
        <v>241</v>
      </c>
    </row>
    <row r="61" spans="2:3">
      <c r="B61" t="s">
        <v>24</v>
      </c>
      <c r="C61" t="s">
        <v>242</v>
      </c>
    </row>
    <row r="63" spans="2:3">
      <c r="C63" t="s">
        <v>243</v>
      </c>
    </row>
    <row r="64" spans="2:3">
      <c r="C64" t="s">
        <v>244</v>
      </c>
    </row>
    <row r="65" spans="2:10">
      <c r="C65" t="s">
        <v>245</v>
      </c>
    </row>
    <row r="66" spans="2:10">
      <c r="C66" t="s">
        <v>246</v>
      </c>
    </row>
    <row r="68" spans="2:10">
      <c r="C68" s="69" t="s">
        <v>2</v>
      </c>
      <c r="D68" s="69" t="s">
        <v>3</v>
      </c>
      <c r="E68" s="69" t="s">
        <v>4</v>
      </c>
      <c r="F68" s="66" t="s">
        <v>236</v>
      </c>
      <c r="G68" s="66" t="s">
        <v>8</v>
      </c>
      <c r="H68" s="66" t="s">
        <v>5</v>
      </c>
      <c r="I68" s="66" t="s">
        <v>6</v>
      </c>
      <c r="J68" s="66" t="s">
        <v>7</v>
      </c>
    </row>
    <row r="69" spans="2:10">
      <c r="C69" s="70" t="str">
        <f>UPPER(C63)</f>
        <v>PLACES</v>
      </c>
      <c r="D69" s="70" t="str">
        <f>LOWER(C63)</f>
        <v>places</v>
      </c>
      <c r="E69" s="70" t="str">
        <f>PROPER(C63)</f>
        <v>Places</v>
      </c>
      <c r="F69" t="s">
        <v>247</v>
      </c>
      <c r="G69" t="s">
        <v>248</v>
      </c>
    </row>
    <row r="70" spans="2:10">
      <c r="C70" s="70" t="str">
        <f>UPPER(C64)</f>
        <v>MUMBAI</v>
      </c>
      <c r="D70" s="70" t="str">
        <f>LOWER(C64)</f>
        <v>mumbai</v>
      </c>
      <c r="E70" s="70" t="str">
        <f>PROPER(C64)</f>
        <v>Mumbai</v>
      </c>
      <c r="F70" t="s">
        <v>248</v>
      </c>
      <c r="G70" s="67">
        <f>LEN(G69)</f>
        <v>8</v>
      </c>
      <c r="H70" s="67" t="str">
        <f>LEFT(G69,3)</f>
        <v>Com</v>
      </c>
      <c r="I70" s="67" t="str">
        <f>RIGHT(F70,3)</f>
        <v>ter</v>
      </c>
      <c r="J70" s="67" t="str">
        <f>MID(F70,3,3)</f>
        <v>mpu</v>
      </c>
    </row>
    <row r="71" spans="2:10">
      <c r="C71" s="70" t="str">
        <f>UPPER(C65)</f>
        <v>DELHI</v>
      </c>
      <c r="D71" s="70" t="str">
        <f>LOWER(C65)</f>
        <v>delhi</v>
      </c>
      <c r="E71" s="70" t="str">
        <f>PROPER(C65)</f>
        <v>Delhi</v>
      </c>
      <c r="F71" s="67" t="b">
        <f>EXACT(F69,F70)</f>
        <v>0</v>
      </c>
      <c r="G71">
        <f>LEN(C63)</f>
        <v>6</v>
      </c>
      <c r="H71" t="str">
        <f>LEFT(C66,4)</f>
        <v>Hyde</v>
      </c>
    </row>
    <row r="72" spans="2:10">
      <c r="C72" s="70" t="str">
        <f>UPPER(C66)</f>
        <v>HYDERABAD</v>
      </c>
      <c r="D72" s="70" t="str">
        <f>LOWER(C66)</f>
        <v>hyderabad</v>
      </c>
      <c r="E72" s="70" t="str">
        <f>PROPER(C66)</f>
        <v>Hyderabad</v>
      </c>
    </row>
    <row r="74" spans="2:10">
      <c r="B74" t="s">
        <v>24</v>
      </c>
    </row>
    <row r="75" spans="2:10">
      <c r="C75" t="s">
        <v>22</v>
      </c>
      <c r="D75" t="s">
        <v>23</v>
      </c>
      <c r="E75" t="s">
        <v>249</v>
      </c>
    </row>
    <row r="76" spans="2:10">
      <c r="C76" t="s">
        <v>250</v>
      </c>
      <c r="D76" t="s">
        <v>251</v>
      </c>
      <c r="E76" s="67" t="str">
        <f>CONCATENATE(C76," ",D76)</f>
        <v>Praksh Kumar</v>
      </c>
    </row>
    <row r="77" spans="2:10">
      <c r="C77" t="s">
        <v>252</v>
      </c>
      <c r="D77" t="s">
        <v>253</v>
      </c>
      <c r="E77" s="67" t="str">
        <f>CONCATENATE(C77,D77)</f>
        <v>Pankaj Advani</v>
      </c>
    </row>
    <row r="79" spans="2:10">
      <c r="B79" t="s">
        <v>254</v>
      </c>
    </row>
    <row r="81" spans="2:8">
      <c r="B81" s="53" t="s">
        <v>249</v>
      </c>
      <c r="C81" s="53" t="s">
        <v>22</v>
      </c>
      <c r="D81" s="53" t="s">
        <v>23</v>
      </c>
    </row>
    <row r="82" spans="2:8">
      <c r="B82" t="s">
        <v>255</v>
      </c>
      <c r="C82" t="str">
        <f>LEFT(B82,FIND(" ",B82))</f>
        <v xml:space="preserve">Praksh </v>
      </c>
      <c r="D82" s="67" t="str">
        <f>RIGHT(B82,LEN(B82)-FIND(" ",B82))</f>
        <v>Kumar</v>
      </c>
    </row>
    <row r="83" spans="2:8">
      <c r="B83" t="s">
        <v>256</v>
      </c>
      <c r="C83" t="str">
        <f>LEFT(B83,FIND(" ",B83))</f>
        <v xml:space="preserve">Pankaj </v>
      </c>
      <c r="D83" s="67" t="str">
        <f>RIGHT(B83,LEN(B83)-FIND(" ",B83))</f>
        <v>Advani</v>
      </c>
    </row>
    <row r="86" spans="2:8" ht="18.5">
      <c r="B86" s="68" t="s">
        <v>257</v>
      </c>
    </row>
    <row r="88" spans="2:8">
      <c r="B88" s="66" t="s">
        <v>258</v>
      </c>
    </row>
    <row r="93" spans="2:8">
      <c r="C93" s="71" t="s">
        <v>50</v>
      </c>
      <c r="D93" s="65" t="s">
        <v>259</v>
      </c>
      <c r="E93" s="65" t="s">
        <v>260</v>
      </c>
      <c r="F93" s="65" t="s">
        <v>261</v>
      </c>
      <c r="G93" s="65" t="s">
        <v>262</v>
      </c>
      <c r="H93" s="65" t="s">
        <v>263</v>
      </c>
    </row>
    <row r="94" spans="2:8">
      <c r="C94" s="71" t="s">
        <v>264</v>
      </c>
      <c r="D94" s="64">
        <v>10</v>
      </c>
      <c r="E94" s="64">
        <v>15</v>
      </c>
      <c r="F94" s="64">
        <v>25</v>
      </c>
      <c r="G94" s="64">
        <v>30</v>
      </c>
      <c r="H94" s="64">
        <v>40</v>
      </c>
    </row>
    <row r="95" spans="2:8">
      <c r="C95" s="71" t="s">
        <v>265</v>
      </c>
      <c r="D95" s="64">
        <v>250</v>
      </c>
      <c r="E95" s="64">
        <v>200</v>
      </c>
      <c r="F95" s="64">
        <v>150</v>
      </c>
      <c r="G95" s="64">
        <v>225</v>
      </c>
      <c r="H95" s="64">
        <v>275</v>
      </c>
    </row>
    <row r="97" spans="2:8">
      <c r="C97" s="71" t="s">
        <v>50</v>
      </c>
      <c r="D97" s="64" t="s">
        <v>259</v>
      </c>
      <c r="E97" s="64" t="s">
        <v>260</v>
      </c>
      <c r="F97" s="64" t="s">
        <v>259</v>
      </c>
      <c r="G97" s="64" t="s">
        <v>263</v>
      </c>
      <c r="H97" s="64" t="s">
        <v>261</v>
      </c>
    </row>
    <row r="98" spans="2:8">
      <c r="C98" s="71" t="s">
        <v>265</v>
      </c>
      <c r="D98" s="72">
        <f>HLOOKUP(D97,C93:H95,3,FALSE)</f>
        <v>250</v>
      </c>
      <c r="E98" s="64">
        <f>HLOOKUP(E97,$C$93:$H$95,3,FALSE)</f>
        <v>200</v>
      </c>
      <c r="F98" s="64">
        <f>HLOOKUP(F97,$C$93:$H$95,3,0)</f>
        <v>250</v>
      </c>
      <c r="G98" s="64">
        <f>HLOOKUP(G97,$C$93:$H$95,3,0)</f>
        <v>275</v>
      </c>
      <c r="H98" s="64">
        <f>HLOOKUP(H97,$C$93:$H$95,3,0)</f>
        <v>150</v>
      </c>
    </row>
    <row r="100" spans="2:8">
      <c r="B100" s="66" t="s">
        <v>266</v>
      </c>
    </row>
    <row r="104" spans="2:8">
      <c r="C104" t="s">
        <v>267</v>
      </c>
      <c r="D104" t="s">
        <v>268</v>
      </c>
      <c r="E104" t="s">
        <v>83</v>
      </c>
      <c r="F104" t="s">
        <v>67</v>
      </c>
      <c r="G104" t="s">
        <v>69</v>
      </c>
    </row>
    <row r="105" spans="2:8">
      <c r="C105">
        <v>1</v>
      </c>
      <c r="D105" t="s">
        <v>269</v>
      </c>
      <c r="E105" t="s">
        <v>219</v>
      </c>
      <c r="F105">
        <v>12000</v>
      </c>
      <c r="G105">
        <f>F105*10%</f>
        <v>1200</v>
      </c>
    </row>
    <row r="106" spans="2:8">
      <c r="C106">
        <v>2</v>
      </c>
      <c r="D106" t="s">
        <v>0</v>
      </c>
      <c r="E106" t="s">
        <v>220</v>
      </c>
      <c r="F106">
        <v>15000</v>
      </c>
      <c r="G106">
        <f>F106*10%</f>
        <v>1500</v>
      </c>
    </row>
    <row r="107" spans="2:8">
      <c r="C107">
        <v>3</v>
      </c>
      <c r="D107" t="s">
        <v>68</v>
      </c>
      <c r="E107" t="s">
        <v>219</v>
      </c>
      <c r="F107">
        <v>14000</v>
      </c>
      <c r="G107">
        <f>F107*10%</f>
        <v>1400</v>
      </c>
    </row>
    <row r="108" spans="2:8">
      <c r="C108">
        <v>4</v>
      </c>
      <c r="D108" t="s">
        <v>269</v>
      </c>
      <c r="E108" t="s">
        <v>222</v>
      </c>
      <c r="F108">
        <v>20000</v>
      </c>
      <c r="G108">
        <f>F108*10%</f>
        <v>2000</v>
      </c>
    </row>
    <row r="109" spans="2:8">
      <c r="C109">
        <v>5</v>
      </c>
      <c r="D109" t="s">
        <v>0</v>
      </c>
      <c r="E109" t="s">
        <v>219</v>
      </c>
      <c r="F109">
        <v>21200</v>
      </c>
      <c r="G109">
        <f>F109*10%</f>
        <v>2120</v>
      </c>
    </row>
    <row r="112" spans="2:8">
      <c r="C112" t="s">
        <v>267</v>
      </c>
      <c r="D112" t="s">
        <v>67</v>
      </c>
    </row>
    <row r="113" spans="2:5">
      <c r="C113">
        <v>2</v>
      </c>
      <c r="D113" s="67">
        <f>VLOOKUP(C113,C104:G109,4,FALSE)</f>
        <v>15000</v>
      </c>
    </row>
    <row r="114" spans="2:5">
      <c r="C114">
        <v>5</v>
      </c>
      <c r="D114" s="67">
        <f>VLOOKUP(C114,C105:G110,4,FALSE)</f>
        <v>21200</v>
      </c>
    </row>
    <row r="116" spans="2:5" ht="18.5">
      <c r="B116" s="68" t="s">
        <v>197</v>
      </c>
    </row>
    <row r="118" spans="2:5">
      <c r="B118" t="s">
        <v>270</v>
      </c>
      <c r="C118" t="s">
        <v>271</v>
      </c>
    </row>
    <row r="119" spans="2:5">
      <c r="B119" t="s">
        <v>272</v>
      </c>
      <c r="C119" t="s">
        <v>273</v>
      </c>
    </row>
    <row r="120" spans="2:5">
      <c r="B120" t="s">
        <v>274</v>
      </c>
      <c r="C120" t="s">
        <v>275</v>
      </c>
    </row>
    <row r="124" spans="2:5">
      <c r="B124" s="66" t="s">
        <v>270</v>
      </c>
      <c r="C124" s="73">
        <f ca="1">NOW()</f>
        <v>45986.444034375003</v>
      </c>
    </row>
    <row r="125" spans="2:5">
      <c r="B125" s="66" t="s">
        <v>272</v>
      </c>
      <c r="C125" s="74">
        <f ca="1">TODAY()</f>
        <v>45986</v>
      </c>
    </row>
    <row r="126" spans="2:5">
      <c r="B126" s="66" t="s">
        <v>274</v>
      </c>
      <c r="C126" s="67">
        <f ca="1">WEEKDAY(C125)</f>
        <v>3</v>
      </c>
    </row>
    <row r="128" spans="2:5">
      <c r="B128" s="66" t="s">
        <v>276</v>
      </c>
      <c r="D128" s="75">
        <v>40604</v>
      </c>
      <c r="E128" s="74">
        <f>DATE(YEAR(D129),MONTH(D129),DAY(D129)+10)</f>
        <v>40614</v>
      </c>
    </row>
    <row r="129" spans="2:6">
      <c r="B129" s="66" t="s">
        <v>277</v>
      </c>
      <c r="D129" s="75">
        <v>40604</v>
      </c>
      <c r="E129" s="74">
        <f>DATE(YEAR(D129),MONTH(D129)+5,DAY(D129))</f>
        <v>40757</v>
      </c>
    </row>
    <row r="130" spans="2:6">
      <c r="B130" s="66" t="s">
        <v>278</v>
      </c>
      <c r="D130" s="75">
        <v>40604</v>
      </c>
      <c r="E130" s="76">
        <f>DATE(YEAR(D130)+5,MONTH(D130),DAY(D130))</f>
        <v>42431</v>
      </c>
    </row>
    <row r="131" spans="2:6">
      <c r="B131" s="66" t="s">
        <v>279</v>
      </c>
      <c r="D131" s="75">
        <v>40604</v>
      </c>
      <c r="E131" s="75">
        <v>40614</v>
      </c>
      <c r="F131" s="67">
        <f>E131-D131</f>
        <v>10</v>
      </c>
    </row>
    <row r="132" spans="2:6">
      <c r="B132" s="66" t="s">
        <v>276</v>
      </c>
      <c r="D132" s="75">
        <v>40604</v>
      </c>
      <c r="E132" s="77">
        <f>D132+10</f>
        <v>40614</v>
      </c>
    </row>
    <row r="133" spans="2:6">
      <c r="B133" s="66" t="s">
        <v>280</v>
      </c>
      <c r="D133" s="75">
        <v>40604</v>
      </c>
      <c r="E133" s="74">
        <f>D133-10</f>
        <v>40594</v>
      </c>
    </row>
    <row r="136" spans="2:6" ht="15.5">
      <c r="B136" s="78" t="s">
        <v>281</v>
      </c>
    </row>
    <row r="138" spans="2:6">
      <c r="B138" t="s">
        <v>282</v>
      </c>
      <c r="C138" t="s">
        <v>283</v>
      </c>
    </row>
    <row r="139" spans="2:6">
      <c r="B139" t="s">
        <v>284</v>
      </c>
      <c r="C139" t="s">
        <v>285</v>
      </c>
    </row>
    <row r="140" spans="2:6">
      <c r="B140" t="s">
        <v>286</v>
      </c>
      <c r="C140" t="s">
        <v>287</v>
      </c>
    </row>
    <row r="141" spans="2:6">
      <c r="B141" t="s">
        <v>288</v>
      </c>
      <c r="C141" t="s">
        <v>289</v>
      </c>
    </row>
    <row r="142" spans="2:6">
      <c r="B142" t="s">
        <v>290</v>
      </c>
      <c r="C142" t="s">
        <v>291</v>
      </c>
    </row>
    <row r="143" spans="2:6">
      <c r="B143" t="s">
        <v>292</v>
      </c>
      <c r="C143" t="s">
        <v>293</v>
      </c>
    </row>
    <row r="145" spans="2:6">
      <c r="C145" t="s">
        <v>267</v>
      </c>
      <c r="D145" t="s">
        <v>268</v>
      </c>
      <c r="E145" t="s">
        <v>83</v>
      </c>
      <c r="F145" t="s">
        <v>67</v>
      </c>
    </row>
    <row r="146" spans="2:6">
      <c r="C146">
        <v>1</v>
      </c>
      <c r="D146" t="s">
        <v>269</v>
      </c>
      <c r="E146" t="s">
        <v>219</v>
      </c>
      <c r="F146">
        <v>12000</v>
      </c>
    </row>
    <row r="147" spans="2:6">
      <c r="C147">
        <v>2</v>
      </c>
      <c r="D147" t="s">
        <v>0</v>
      </c>
      <c r="E147" t="s">
        <v>220</v>
      </c>
      <c r="F147">
        <v>15000</v>
      </c>
    </row>
    <row r="148" spans="2:6">
      <c r="C148">
        <v>3</v>
      </c>
      <c r="D148" t="s">
        <v>68</v>
      </c>
      <c r="E148" t="s">
        <v>219</v>
      </c>
      <c r="F148">
        <v>14000</v>
      </c>
    </row>
    <row r="149" spans="2:6">
      <c r="C149">
        <v>4</v>
      </c>
      <c r="D149" t="s">
        <v>269</v>
      </c>
      <c r="E149" t="s">
        <v>222</v>
      </c>
      <c r="F149">
        <v>20000</v>
      </c>
    </row>
    <row r="150" spans="2:6">
      <c r="C150">
        <v>5</v>
      </c>
      <c r="D150" t="s">
        <v>0</v>
      </c>
      <c r="E150" t="s">
        <v>219</v>
      </c>
      <c r="F150">
        <v>21200</v>
      </c>
    </row>
    <row r="151" spans="2:6">
      <c r="C151">
        <v>6</v>
      </c>
      <c r="D151" t="s">
        <v>269</v>
      </c>
      <c r="E151" t="s">
        <v>219</v>
      </c>
      <c r="F151">
        <v>12500</v>
      </c>
    </row>
    <row r="155" spans="2:6">
      <c r="B155" s="66" t="s">
        <v>294</v>
      </c>
      <c r="C155" t="s">
        <v>295</v>
      </c>
      <c r="E155" s="79">
        <f ca="1">SUMIF(D145:F151,"acc",F145:F151)</f>
        <v>44500</v>
      </c>
    </row>
    <row r="156" spans="2:6">
      <c r="B156" s="66" t="s">
        <v>284</v>
      </c>
      <c r="C156" t="s">
        <v>296</v>
      </c>
      <c r="E156" s="79">
        <f>COUNTIF(D146:D151,"Acc")</f>
        <v>3</v>
      </c>
    </row>
    <row r="157" spans="2:6">
      <c r="B157" s="66" t="s">
        <v>286</v>
      </c>
      <c r="C157" t="s">
        <v>297</v>
      </c>
      <c r="E157" s="79">
        <f ca="1">AVERAGEIF(D145:F151,"sales",F145:F151)</f>
        <v>18100</v>
      </c>
    </row>
    <row r="158" spans="2:6">
      <c r="B158" s="66" t="s">
        <v>288</v>
      </c>
      <c r="C158" t="s">
        <v>298</v>
      </c>
      <c r="E158" s="79">
        <f>SUMIFS(F145:F151,D145:D151,"acc",E145:E151,"e")</f>
        <v>24500</v>
      </c>
    </row>
    <row r="159" spans="2:6">
      <c r="B159" s="66" t="s">
        <v>290</v>
      </c>
      <c r="C159" t="s">
        <v>299</v>
      </c>
      <c r="E159" s="79">
        <f>COUNTIFS(D145:D151,"acc",E145:E151,"e")</f>
        <v>2</v>
      </c>
    </row>
    <row r="160" spans="2:6">
      <c r="B160" s="66" t="s">
        <v>292</v>
      </c>
      <c r="C160" t="s">
        <v>298</v>
      </c>
      <c r="E160" s="79">
        <f>AVERAGEIFS(F145:F151,D145:D151,"acc",E145:E151,"E")</f>
        <v>12250</v>
      </c>
    </row>
    <row r="164" spans="2:11" ht="18.5">
      <c r="B164" s="68" t="s">
        <v>198</v>
      </c>
    </row>
    <row r="166" spans="2:11">
      <c r="B166" t="s">
        <v>300</v>
      </c>
      <c r="C166" t="s">
        <v>301</v>
      </c>
    </row>
    <row r="167" spans="2:11">
      <c r="B167" t="s">
        <v>302</v>
      </c>
      <c r="C167" t="s">
        <v>303</v>
      </c>
    </row>
    <row r="168" spans="2:11">
      <c r="B168" t="s">
        <v>304</v>
      </c>
      <c r="C168" t="s">
        <v>305</v>
      </c>
    </row>
    <row r="169" spans="2:11">
      <c r="B169" t="s">
        <v>306</v>
      </c>
      <c r="C169" t="s">
        <v>307</v>
      </c>
    </row>
    <row r="170" spans="2:11">
      <c r="B170" t="s">
        <v>308</v>
      </c>
      <c r="C170" t="s">
        <v>309</v>
      </c>
    </row>
    <row r="171" spans="2:11">
      <c r="G171" s="123" t="s">
        <v>310</v>
      </c>
      <c r="H171" s="123"/>
      <c r="I171" t="s">
        <v>69</v>
      </c>
    </row>
    <row r="172" spans="2:11">
      <c r="C172" t="s">
        <v>267</v>
      </c>
      <c r="D172" t="s">
        <v>268</v>
      </c>
      <c r="E172" t="s">
        <v>83</v>
      </c>
      <c r="F172" t="s">
        <v>67</v>
      </c>
      <c r="G172" s="80" t="s">
        <v>300</v>
      </c>
      <c r="H172" s="80" t="s">
        <v>302</v>
      </c>
      <c r="I172" s="69" t="s">
        <v>304</v>
      </c>
      <c r="J172" s="69" t="s">
        <v>308</v>
      </c>
      <c r="K172" s="69" t="s">
        <v>306</v>
      </c>
    </row>
    <row r="173" spans="2:11">
      <c r="C173">
        <v>1</v>
      </c>
      <c r="D173" t="s">
        <v>269</v>
      </c>
      <c r="E173" t="s">
        <v>219</v>
      </c>
      <c r="F173">
        <v>12000</v>
      </c>
      <c r="G173" s="67" t="b">
        <f t="shared" ref="G173:G178" si="0">AND(D173="acc",F173&gt;15000)</f>
        <v>0</v>
      </c>
      <c r="H173" s="67" t="b">
        <f t="shared" ref="H173:H178" si="1">OR(D173="acc",F173&gt;15000)</f>
        <v>1</v>
      </c>
      <c r="I173" s="67">
        <f t="shared" ref="I173:I178" si="2">IF(F173&gt;15000,F173*40%,0)</f>
        <v>0</v>
      </c>
      <c r="J173" s="81">
        <f t="shared" ref="J173:J178" si="3">IF(AND(D173="acc",F173&gt;15000),F173*40%,0)</f>
        <v>0</v>
      </c>
      <c r="K173" s="81">
        <f t="shared" ref="K173:K178" si="4">IF(OR(D173="acc",F173&gt;12000),F173*30%,0)</f>
        <v>3600</v>
      </c>
    </row>
    <row r="174" spans="2:11">
      <c r="C174">
        <v>2</v>
      </c>
      <c r="D174" t="s">
        <v>0</v>
      </c>
      <c r="E174" t="s">
        <v>220</v>
      </c>
      <c r="F174">
        <v>15000</v>
      </c>
      <c r="G174" s="67" t="b">
        <f t="shared" si="0"/>
        <v>0</v>
      </c>
      <c r="H174" s="67" t="b">
        <f t="shared" si="1"/>
        <v>0</v>
      </c>
      <c r="I174" s="67">
        <f t="shared" si="2"/>
        <v>0</v>
      </c>
      <c r="J174" s="81">
        <f t="shared" si="3"/>
        <v>0</v>
      </c>
      <c r="K174" s="81">
        <f t="shared" si="4"/>
        <v>4500</v>
      </c>
    </row>
    <row r="175" spans="2:11">
      <c r="C175">
        <v>3</v>
      </c>
      <c r="D175" t="s">
        <v>68</v>
      </c>
      <c r="E175" t="s">
        <v>219</v>
      </c>
      <c r="F175">
        <v>14000</v>
      </c>
      <c r="G175" s="67" t="b">
        <f t="shared" si="0"/>
        <v>0</v>
      </c>
      <c r="H175" s="67" t="b">
        <f t="shared" si="1"/>
        <v>0</v>
      </c>
      <c r="I175" s="67">
        <f t="shared" si="2"/>
        <v>0</v>
      </c>
      <c r="J175" s="81">
        <f t="shared" si="3"/>
        <v>0</v>
      </c>
      <c r="K175" s="81">
        <f t="shared" si="4"/>
        <v>4200</v>
      </c>
    </row>
    <row r="176" spans="2:11">
      <c r="C176">
        <v>4</v>
      </c>
      <c r="D176" t="s">
        <v>269</v>
      </c>
      <c r="E176" t="s">
        <v>222</v>
      </c>
      <c r="F176">
        <v>20000</v>
      </c>
      <c r="G176" s="67" t="b">
        <f t="shared" si="0"/>
        <v>1</v>
      </c>
      <c r="H176" s="67" t="b">
        <f t="shared" si="1"/>
        <v>1</v>
      </c>
      <c r="I176" s="67">
        <f t="shared" si="2"/>
        <v>8000</v>
      </c>
      <c r="J176" s="81">
        <f t="shared" si="3"/>
        <v>8000</v>
      </c>
      <c r="K176" s="81">
        <f t="shared" si="4"/>
        <v>6000</v>
      </c>
    </row>
    <row r="177" spans="3:11">
      <c r="C177">
        <v>5</v>
      </c>
      <c r="D177" t="s">
        <v>0</v>
      </c>
      <c r="E177" t="s">
        <v>219</v>
      </c>
      <c r="F177">
        <v>21200</v>
      </c>
      <c r="G177" s="67" t="b">
        <f t="shared" si="0"/>
        <v>0</v>
      </c>
      <c r="H177" s="67" t="b">
        <f t="shared" si="1"/>
        <v>1</v>
      </c>
      <c r="I177" s="67">
        <f t="shared" si="2"/>
        <v>8480</v>
      </c>
      <c r="J177" s="81">
        <f t="shared" si="3"/>
        <v>0</v>
      </c>
      <c r="K177" s="81">
        <f t="shared" si="4"/>
        <v>6360</v>
      </c>
    </row>
    <row r="178" spans="3:11">
      <c r="C178">
        <v>6</v>
      </c>
      <c r="D178" t="s">
        <v>269</v>
      </c>
      <c r="E178" t="s">
        <v>219</v>
      </c>
      <c r="F178">
        <v>12500</v>
      </c>
      <c r="G178" s="67" t="b">
        <f t="shared" si="0"/>
        <v>0</v>
      </c>
      <c r="H178" s="67" t="b">
        <f t="shared" si="1"/>
        <v>1</v>
      </c>
      <c r="I178" s="67">
        <f t="shared" si="2"/>
        <v>0</v>
      </c>
      <c r="J178" s="81">
        <f t="shared" si="3"/>
        <v>0</v>
      </c>
      <c r="K178" s="81">
        <f t="shared" si="4"/>
        <v>3750</v>
      </c>
    </row>
  </sheetData>
  <mergeCells count="2">
    <mergeCell ref="C1:F1"/>
    <mergeCell ref="G171:H1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Basics </vt:lpstr>
      <vt:lpstr>Find_Replace</vt:lpstr>
      <vt:lpstr>Text Functions</vt:lpstr>
      <vt:lpstr>Aggregate Functions</vt:lpstr>
      <vt:lpstr>Logical&amp;Comparitive Operators</vt:lpstr>
      <vt:lpstr>IF Functions</vt:lpstr>
      <vt:lpstr>Sumif,Averageif, Countif</vt:lpstr>
      <vt:lpstr>Datetime functions</vt:lpstr>
      <vt:lpstr>Shortcuts</vt:lpstr>
      <vt:lpstr>All Functions</vt:lpstr>
      <vt:lpstr>NK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 3420</cp:lastModifiedBy>
  <dcterms:created xsi:type="dcterms:W3CDTF">2024-02-22T05:06:55Z</dcterms:created>
  <dcterms:modified xsi:type="dcterms:W3CDTF">2025-11-25T05:10:41Z</dcterms:modified>
</cp:coreProperties>
</file>