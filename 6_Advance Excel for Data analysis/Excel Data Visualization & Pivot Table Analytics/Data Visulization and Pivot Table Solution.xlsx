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D:\Github\Advanced_Excel_for_Data_Analysis\Excel Data Visualization &amp; Pivot Table Analytics\"/>
    </mc:Choice>
  </mc:AlternateContent>
  <bookViews>
    <workbookView xWindow="0" yWindow="0" windowWidth="3810" windowHeight="3060" activeTab="2"/>
  </bookViews>
  <sheets>
    <sheet name="Ecommerence Data" sheetId="1" r:id="rId1"/>
    <sheet name="Pivot Table" sheetId="2" r:id="rId2"/>
    <sheet name="Dashboard" sheetId="3" r:id="rId3"/>
  </sheets>
  <definedNames>
    <definedName name="Slicer_Category">#N/A</definedName>
    <definedName name="Slicer_City">#N/A</definedName>
    <definedName name="Slicer_Order_Status">#N/A</definedName>
    <definedName name="Slicer_Product_Name">#N/A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2" i="1"/>
  <c r="N5" i="2"/>
  <c r="B2" i="3" l="1"/>
</calcChain>
</file>

<file path=xl/sharedStrings.xml><?xml version="1.0" encoding="utf-8"?>
<sst xmlns="http://schemas.openxmlformats.org/spreadsheetml/2006/main" count="428" uniqueCount="136">
  <si>
    <t>Order ID</t>
  </si>
  <si>
    <t>Order Date</t>
  </si>
  <si>
    <t>Customer Name</t>
  </si>
  <si>
    <t>City</t>
  </si>
  <si>
    <t>Product Name</t>
  </si>
  <si>
    <t>Unit Price</t>
  </si>
  <si>
    <t>Quantity</t>
  </si>
  <si>
    <t>Payment Mode</t>
  </si>
  <si>
    <t>Order Status</t>
  </si>
  <si>
    <t>Discount %</t>
  </si>
  <si>
    <t>Profit</t>
  </si>
  <si>
    <t>Rahul Sharma</t>
  </si>
  <si>
    <t>Hyderabad</t>
  </si>
  <si>
    <t>Electronics</t>
  </si>
  <si>
    <t>Wireless Mouse</t>
  </si>
  <si>
    <t>UPI</t>
  </si>
  <si>
    <t>Delivered</t>
  </si>
  <si>
    <t>Pooja Verma</t>
  </si>
  <si>
    <t>Bangalore</t>
  </si>
  <si>
    <t>Keyboard</t>
  </si>
  <si>
    <t>COD</t>
  </si>
  <si>
    <t>Amit Singh</t>
  </si>
  <si>
    <t>Delhi</t>
  </si>
  <si>
    <t>Fashion</t>
  </si>
  <si>
    <t>Sports Shoes</t>
  </si>
  <si>
    <t>Card</t>
  </si>
  <si>
    <t>Komal Jain</t>
  </si>
  <si>
    <t>Mumbai</t>
  </si>
  <si>
    <t>Home Decor</t>
  </si>
  <si>
    <t>Table Lamp</t>
  </si>
  <si>
    <t>Suresh Rao</t>
  </si>
  <si>
    <t>Pune</t>
  </si>
  <si>
    <t>Earbuds</t>
  </si>
  <si>
    <t>Returned</t>
  </si>
  <si>
    <t>Riya Gupta</t>
  </si>
  <si>
    <t>Kolkata</t>
  </si>
  <si>
    <t>Power Bank</t>
  </si>
  <si>
    <t>Karan Mehta</t>
  </si>
  <si>
    <t>Chennai</t>
  </si>
  <si>
    <t>Men T-Shirt</t>
  </si>
  <si>
    <t>Deepak Kumar</t>
  </si>
  <si>
    <t>Wall Clock</t>
  </si>
  <si>
    <t>Nikita Sharma</t>
  </si>
  <si>
    <t>Handbag</t>
  </si>
  <si>
    <t>Vishal Singh</t>
  </si>
  <si>
    <t>Smartwatch</t>
  </si>
  <si>
    <t>Cancelled</t>
  </si>
  <si>
    <t>Harsh Patel</t>
  </si>
  <si>
    <t>Bedside Lamp</t>
  </si>
  <si>
    <t>Aisha Khan</t>
  </si>
  <si>
    <t>USB Cable</t>
  </si>
  <si>
    <t>Anjali Rao</t>
  </si>
  <si>
    <t>Kurti</t>
  </si>
  <si>
    <t>Parth Shah</t>
  </si>
  <si>
    <t>Bluetooth Speaker</t>
  </si>
  <si>
    <t>Mohit Jain</t>
  </si>
  <si>
    <t>Flower Vase</t>
  </si>
  <si>
    <t>Kritika Sen</t>
  </si>
  <si>
    <t>Saree</t>
  </si>
  <si>
    <t>Sumit Roy</t>
  </si>
  <si>
    <t>Phone Cover</t>
  </si>
  <si>
    <t>Priya Mehta</t>
  </si>
  <si>
    <t>Webcam</t>
  </si>
  <si>
    <t>Rohit Sharma</t>
  </si>
  <si>
    <t>Jeans</t>
  </si>
  <si>
    <t>Nisha Agarwal</t>
  </si>
  <si>
    <t>Candle Set</t>
  </si>
  <si>
    <t>Arjun Gupta</t>
  </si>
  <si>
    <t>Earphones</t>
  </si>
  <si>
    <t>Mansi Shah</t>
  </si>
  <si>
    <t>Top</t>
  </si>
  <si>
    <t>Kunal Verma</t>
  </si>
  <si>
    <t>Curtains</t>
  </si>
  <si>
    <t>Ankit Patel</t>
  </si>
  <si>
    <t>Jacket</t>
  </si>
  <si>
    <t>Sweta Singh</t>
  </si>
  <si>
    <t>Trimmer</t>
  </si>
  <si>
    <t>Vikas Rao</t>
  </si>
  <si>
    <t>Charger</t>
  </si>
  <si>
    <t>Divya Nair</t>
  </si>
  <si>
    <t>Earrings</t>
  </si>
  <si>
    <t>Akash Jain</t>
  </si>
  <si>
    <t>Cushion Cover</t>
  </si>
  <si>
    <t>Megha Sharma</t>
  </si>
  <si>
    <t>Monitor</t>
  </si>
  <si>
    <t>Rajeev Kumar</t>
  </si>
  <si>
    <t>Router</t>
  </si>
  <si>
    <t>Shruti Singh</t>
  </si>
  <si>
    <t>Sandals</t>
  </si>
  <si>
    <t>Harish Kumar</t>
  </si>
  <si>
    <t>Doormat</t>
  </si>
  <si>
    <t>Roshni Patel</t>
  </si>
  <si>
    <t>LED Bulb</t>
  </si>
  <si>
    <t>Ananya Mehra</t>
  </si>
  <si>
    <t>Shirt</t>
  </si>
  <si>
    <t>Samir Gupta</t>
  </si>
  <si>
    <t>Showpiece</t>
  </si>
  <si>
    <t>Kavya Sharma</t>
  </si>
  <si>
    <t>Printer</t>
  </si>
  <si>
    <t>Nitin Rao</t>
  </si>
  <si>
    <t>Shorts</t>
  </si>
  <si>
    <t>Muskan Jain</t>
  </si>
  <si>
    <t>Table Mat</t>
  </si>
  <si>
    <t>Shivam Singh</t>
  </si>
  <si>
    <t>Tablet</t>
  </si>
  <si>
    <t>Aryan Patel</t>
  </si>
  <si>
    <t>Watch</t>
  </si>
  <si>
    <t>Reema Gupta</t>
  </si>
  <si>
    <t>Plant Pot</t>
  </si>
  <si>
    <t>Sachin Verma</t>
  </si>
  <si>
    <t>Headphones</t>
  </si>
  <si>
    <t>Naina Shah</t>
  </si>
  <si>
    <t>Scarf</t>
  </si>
  <si>
    <t>Manish Kumar</t>
  </si>
  <si>
    <t>Photo Frame</t>
  </si>
  <si>
    <t>Neha Singh</t>
  </si>
  <si>
    <t>Laptop Stand</t>
  </si>
  <si>
    <t>Aayush Jain</t>
  </si>
  <si>
    <t>Formal Shoes</t>
  </si>
  <si>
    <t>Ritika Roy</t>
  </si>
  <si>
    <t>LED Strip</t>
  </si>
  <si>
    <t>Jay Shah</t>
  </si>
  <si>
    <t>Camera</t>
  </si>
  <si>
    <t>Mona Rao</t>
  </si>
  <si>
    <t>Leggings</t>
  </si>
  <si>
    <t>Sunny Kumar</t>
  </si>
  <si>
    <t>Mirror</t>
  </si>
  <si>
    <t>Category</t>
  </si>
  <si>
    <t>Total Sales</t>
  </si>
  <si>
    <t>Row Labels</t>
  </si>
  <si>
    <t>Grand Total</t>
  </si>
  <si>
    <t>Sum of Total Sales</t>
  </si>
  <si>
    <t>Average of Discount %</t>
  </si>
  <si>
    <t>Count of Order Status</t>
  </si>
  <si>
    <t>Sum of Profit</t>
  </si>
  <si>
    <t>E - Commerence Dashboard</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</si>
</sst>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b/>
      <sz val="28"/>
      <color rgb="FF0070C0"/>
      <name val="Calibri"/>
      <family val="2"/>
      <scheme val="minor"/>
    </font>
    <font>
      <b/>
      <sz val="11"/>
      <color theme="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7">
    <border>
      <left/>
      <right/>
      <top/>
      <bottom/>
      <diagonal/>
    </border>
    <border>
      <left style="thin">
        <color theme="5"/>
      </left>
      <right/>
      <top style="thin">
        <color theme="5"/>
      </top>
      <bottom/>
      <diagonal/>
    </border>
    <border>
      <left/>
      <right/>
      <top style="thin">
        <color theme="5"/>
      </top>
      <bottom/>
      <diagonal/>
    </border>
    <border>
      <left/>
      <right style="thin">
        <color theme="5"/>
      </right>
      <top style="thin">
        <color theme="5"/>
      </top>
      <bottom/>
      <diagonal/>
    </border>
    <border>
      <left style="thin">
        <color theme="5"/>
      </left>
      <right/>
      <top/>
      <bottom style="thin">
        <color theme="5"/>
      </bottom>
      <diagonal/>
    </border>
    <border>
      <left/>
      <right/>
      <top/>
      <bottom style="thin">
        <color theme="5"/>
      </bottom>
      <diagonal/>
    </border>
    <border>
      <left/>
      <right style="thin">
        <color theme="5"/>
      </right>
      <top/>
      <bottom style="thin">
        <color theme="5"/>
      </bottom>
      <diagonal/>
    </border>
  </borders>
  <cellStyleXfs count="1">
    <xf numFmtId="0" fontId="0" fillId="0" borderId="0"/>
  </cellStyleXfs>
  <cellXfs count="17">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3"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2" fillId="2" borderId="5" xfId="0" applyFont="1" applyFill="1" applyBorder="1"/>
    <xf numFmtId="0" fontId="0" fillId="2" borderId="6" xfId="0" applyFill="1" applyBorder="1"/>
    <xf numFmtId="0" fontId="3" fillId="2" borderId="2" xfId="0" applyFont="1" applyFill="1" applyBorder="1"/>
    <xf numFmtId="0" fontId="3" fillId="2" borderId="5"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Visulization and Pivot Table Solution.xlsx]Pivot Table!PivotTable1</c:name>
    <c:fmtId val="4"/>
  </c:pivotSource>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'Pivot 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'Pivot Table'!$A$4:$A$5</c:f>
              <c:strCache>
                <c:ptCount val="1"/>
                <c:pt idx="0">
                  <c:v>Electronics</c:v>
                </c:pt>
              </c:strCache>
            </c:strRef>
          </c:cat>
          <c:val>
            <c:numRef>
              <c:f>'Pivot Table'!$B$4:$B$5</c:f>
              <c:numCache>
                <c:formatCode>General</c:formatCode>
                <c:ptCount val="1"/>
                <c:pt idx="0">
                  <c:v>17896</c:v>
                </c:pt>
              </c:numCache>
            </c:numRef>
          </c:val>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Visulization and Pivot Table Solution.xlsx]Pivot Table!PivotTable3</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Table'!$F$3</c:f>
              <c:strCache>
                <c:ptCount val="1"/>
                <c:pt idx="0">
                  <c:v>Total</c:v>
                </c:pt>
              </c:strCache>
            </c:strRef>
          </c:tx>
          <c:spPr>
            <a:solidFill>
              <a:schemeClr val="accent1"/>
            </a:solidFill>
            <a:ln>
              <a:noFill/>
            </a:ln>
            <a:effectLst/>
          </c:spPr>
          <c:invertIfNegative val="0"/>
          <c:cat>
            <c:strRef>
              <c:f>'Pivot Table'!$E$4:$E$7</c:f>
              <c:strCache>
                <c:ptCount val="3"/>
                <c:pt idx="0">
                  <c:v>Electronics</c:v>
                </c:pt>
                <c:pt idx="1">
                  <c:v>Fashion</c:v>
                </c:pt>
                <c:pt idx="2">
                  <c:v>Home Decor</c:v>
                </c:pt>
              </c:strCache>
            </c:strRef>
          </c:cat>
          <c:val>
            <c:numRef>
              <c:f>'Pivot Table'!$F$4:$F$7</c:f>
              <c:numCache>
                <c:formatCode>General</c:formatCode>
                <c:ptCount val="3"/>
                <c:pt idx="0">
                  <c:v>4.0555555555555554</c:v>
                </c:pt>
                <c:pt idx="1">
                  <c:v>2.6875</c:v>
                </c:pt>
                <c:pt idx="2">
                  <c:v>2.1428571428571428</c:v>
                </c:pt>
              </c:numCache>
            </c:numRef>
          </c:val>
        </c:ser>
        <c:dLbls>
          <c:showLegendKey val="0"/>
          <c:showVal val="0"/>
          <c:showCatName val="0"/>
          <c:showSerName val="0"/>
          <c:showPercent val="0"/>
          <c:showBubbleSize val="0"/>
        </c:dLbls>
        <c:gapWidth val="219"/>
        <c:overlap val="-27"/>
        <c:axId val="-1391970768"/>
        <c:axId val="-1391969136"/>
      </c:barChart>
      <c:catAx>
        <c:axId val="-139197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969136"/>
        <c:crosses val="autoZero"/>
        <c:auto val="1"/>
        <c:lblAlgn val="ctr"/>
        <c:lblOffset val="100"/>
        <c:noMultiLvlLbl val="0"/>
      </c:catAx>
      <c:valAx>
        <c:axId val="-1391969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970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Visulization and Pivot Table Solution.xlsx]Pivot Table!PivotTable6</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Table'!$I$3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Table'!$H$4:$H$7</c:f>
              <c:strCache>
                <c:ptCount val="3"/>
                <c:pt idx="0">
                  <c:v>Electronics</c:v>
                </c:pt>
                <c:pt idx="1">
                  <c:v>Fashion</c:v>
                </c:pt>
                <c:pt idx="2">
                  <c:v>Home Decor</c:v>
                </c:pt>
              </c:strCache>
            </c:strRef>
          </c:cat>
          <c:val>
            <c:numRef>
              <c:f>'Pivot Table'!$I$4:$I$7</c:f>
              <c:numCache>
                <c:formatCode>General</c:formatCode>
                <c:ptCount val="3"/>
                <c:pt idx="0">
                  <c:v>14810</c:v>
                </c:pt>
                <c:pt idx="1">
                  <c:v>4850</c:v>
                </c:pt>
                <c:pt idx="2">
                  <c:v>3960</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Visulization and Pivot Table Solution.xlsx]Pivot Table!PivotTable5</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Table'!$F$17</c:f>
              <c:strCache>
                <c:ptCount val="1"/>
                <c:pt idx="0">
                  <c:v>Total</c:v>
                </c:pt>
              </c:strCache>
            </c:strRef>
          </c:tx>
          <c:spPr>
            <a:solidFill>
              <a:schemeClr val="accent1"/>
            </a:solidFill>
            <a:ln>
              <a:noFill/>
            </a:ln>
            <a:effectLst/>
          </c:spPr>
          <c:invertIfNegative val="0"/>
          <c:cat>
            <c:strRef>
              <c:f>'Pivot Table'!$E$18:$E$25</c:f>
              <c:strCache>
                <c:ptCount val="7"/>
                <c:pt idx="0">
                  <c:v>Bangalore</c:v>
                </c:pt>
                <c:pt idx="1">
                  <c:v>Chennai</c:v>
                </c:pt>
                <c:pt idx="2">
                  <c:v>Delhi</c:v>
                </c:pt>
                <c:pt idx="3">
                  <c:v>Hyderabad</c:v>
                </c:pt>
                <c:pt idx="4">
                  <c:v>Kolkata</c:v>
                </c:pt>
                <c:pt idx="5">
                  <c:v>Mumbai</c:v>
                </c:pt>
                <c:pt idx="6">
                  <c:v>Pune</c:v>
                </c:pt>
              </c:strCache>
            </c:strRef>
          </c:cat>
          <c:val>
            <c:numRef>
              <c:f>'Pivot Table'!$F$18:$F$25</c:f>
              <c:numCache>
                <c:formatCode>General</c:formatCode>
                <c:ptCount val="7"/>
                <c:pt idx="0">
                  <c:v>17889</c:v>
                </c:pt>
                <c:pt idx="1">
                  <c:v>5937</c:v>
                </c:pt>
                <c:pt idx="2">
                  <c:v>20487</c:v>
                </c:pt>
                <c:pt idx="3">
                  <c:v>24288</c:v>
                </c:pt>
                <c:pt idx="4">
                  <c:v>8585</c:v>
                </c:pt>
                <c:pt idx="5">
                  <c:v>11586</c:v>
                </c:pt>
                <c:pt idx="6">
                  <c:v>33485</c:v>
                </c:pt>
              </c:numCache>
            </c:numRef>
          </c:val>
        </c:ser>
        <c:dLbls>
          <c:showLegendKey val="0"/>
          <c:showVal val="0"/>
          <c:showCatName val="0"/>
          <c:showSerName val="0"/>
          <c:showPercent val="0"/>
          <c:showBubbleSize val="0"/>
        </c:dLbls>
        <c:gapWidth val="182"/>
        <c:axId val="-1391972944"/>
        <c:axId val="-1391972400"/>
      </c:barChart>
      <c:catAx>
        <c:axId val="-1391972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972400"/>
        <c:crosses val="autoZero"/>
        <c:auto val="1"/>
        <c:lblAlgn val="ctr"/>
        <c:lblOffset val="100"/>
        <c:noMultiLvlLbl val="0"/>
      </c:catAx>
      <c:valAx>
        <c:axId val="-1391972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972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Visulization and Pivot Table Solution.xlsx]Pivot Table!PivotTable7</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Table'!$I$10</c:f>
              <c:strCache>
                <c:ptCount val="1"/>
                <c:pt idx="0">
                  <c:v>Total</c:v>
                </c:pt>
              </c:strCache>
            </c:strRef>
          </c:tx>
          <c:spPr>
            <a:solidFill>
              <a:schemeClr val="accent1"/>
            </a:solidFill>
            <a:ln>
              <a:noFill/>
            </a:ln>
            <a:effectLst/>
          </c:spPr>
          <c:invertIfNegative val="0"/>
          <c:cat>
            <c:strRef>
              <c:f>'Pivot Table'!$H$11:$H$14</c:f>
              <c:strCache>
                <c:ptCount val="3"/>
                <c:pt idx="0">
                  <c:v>Card</c:v>
                </c:pt>
                <c:pt idx="1">
                  <c:v>COD</c:v>
                </c:pt>
                <c:pt idx="2">
                  <c:v>UPI</c:v>
                </c:pt>
              </c:strCache>
            </c:strRef>
          </c:cat>
          <c:val>
            <c:numRef>
              <c:f>'Pivot Table'!$I$11:$I$14</c:f>
              <c:numCache>
                <c:formatCode>General</c:formatCode>
                <c:ptCount val="3"/>
                <c:pt idx="0">
                  <c:v>45273</c:v>
                </c:pt>
                <c:pt idx="1">
                  <c:v>26170</c:v>
                </c:pt>
                <c:pt idx="2">
                  <c:v>50814</c:v>
                </c:pt>
              </c:numCache>
            </c:numRef>
          </c:val>
        </c:ser>
        <c:dLbls>
          <c:showLegendKey val="0"/>
          <c:showVal val="0"/>
          <c:showCatName val="0"/>
          <c:showSerName val="0"/>
          <c:showPercent val="0"/>
          <c:showBubbleSize val="0"/>
        </c:dLbls>
        <c:gapWidth val="182"/>
        <c:axId val="-1391971312"/>
        <c:axId val="-1391970224"/>
      </c:barChart>
      <c:catAx>
        <c:axId val="-139197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970224"/>
        <c:crosses val="autoZero"/>
        <c:auto val="1"/>
        <c:lblAlgn val="ctr"/>
        <c:lblOffset val="100"/>
        <c:noMultiLvlLbl val="0"/>
      </c:catAx>
      <c:valAx>
        <c:axId val="-1391970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971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Visulization and Pivot Table Solution.xlsx]Pivot Table!PivotTable9</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Table'!$I$17</c:f>
              <c:strCache>
                <c:ptCount val="1"/>
                <c:pt idx="0">
                  <c:v>Total</c:v>
                </c:pt>
              </c:strCache>
            </c:strRef>
          </c:tx>
          <c:spPr>
            <a:solidFill>
              <a:schemeClr val="accent1"/>
            </a:solidFill>
            <a:ln>
              <a:noFill/>
            </a:ln>
            <a:effectLst/>
          </c:spPr>
          <c:invertIfNegative val="0"/>
          <c:cat>
            <c:multiLvlStrRef>
              <c:f>'Pivot Table'!$H$18:$H$39</c:f>
              <c:multiLvlStrCache>
                <c:ptCount val="18"/>
                <c:lvl>
                  <c:pt idx="0">
                    <c:v>Bangalore</c:v>
                  </c:pt>
                  <c:pt idx="1">
                    <c:v>Delhi</c:v>
                  </c:pt>
                  <c:pt idx="2">
                    <c:v>Hyderabad</c:v>
                  </c:pt>
                  <c:pt idx="3">
                    <c:v>Kolkata</c:v>
                  </c:pt>
                  <c:pt idx="4">
                    <c:v>Mumbai</c:v>
                  </c:pt>
                  <c:pt idx="5">
                    <c:v>Pune</c:v>
                  </c:pt>
                  <c:pt idx="6">
                    <c:v>Bangalore</c:v>
                  </c:pt>
                  <c:pt idx="7">
                    <c:v>Chennai</c:v>
                  </c:pt>
                  <c:pt idx="8">
                    <c:v>Delhi</c:v>
                  </c:pt>
                  <c:pt idx="9">
                    <c:v>Hyderabad</c:v>
                  </c:pt>
                  <c:pt idx="10">
                    <c:v>Kolkata</c:v>
                  </c:pt>
                  <c:pt idx="11">
                    <c:v>Mumbai</c:v>
                  </c:pt>
                  <c:pt idx="12">
                    <c:v>Pune</c:v>
                  </c:pt>
                  <c:pt idx="13">
                    <c:v>Bangalore</c:v>
                  </c:pt>
                  <c:pt idx="14">
                    <c:v>Chennai</c:v>
                  </c:pt>
                  <c:pt idx="15">
                    <c:v>Hyderabad</c:v>
                  </c:pt>
                  <c:pt idx="16">
                    <c:v>Mumbai</c:v>
                  </c:pt>
                  <c:pt idx="17">
                    <c:v>Pune</c:v>
                  </c:pt>
                </c:lvl>
                <c:lvl>
                  <c:pt idx="0">
                    <c:v>Electronics</c:v>
                  </c:pt>
                  <c:pt idx="6">
                    <c:v>Fashion</c:v>
                  </c:pt>
                  <c:pt idx="13">
                    <c:v>Home Decor</c:v>
                  </c:pt>
                </c:lvl>
              </c:multiLvlStrCache>
            </c:multiLvlStrRef>
          </c:cat>
          <c:val>
            <c:numRef>
              <c:f>'Pivot Table'!$I$18:$I$39</c:f>
              <c:numCache>
                <c:formatCode>General</c:formatCode>
                <c:ptCount val="18"/>
                <c:pt idx="0">
                  <c:v>1880</c:v>
                </c:pt>
                <c:pt idx="1">
                  <c:v>2100</c:v>
                </c:pt>
                <c:pt idx="2">
                  <c:v>3400</c:v>
                </c:pt>
                <c:pt idx="3">
                  <c:v>1430</c:v>
                </c:pt>
                <c:pt idx="4">
                  <c:v>300</c:v>
                </c:pt>
                <c:pt idx="5">
                  <c:v>5700</c:v>
                </c:pt>
                <c:pt idx="6">
                  <c:v>1050</c:v>
                </c:pt>
                <c:pt idx="7">
                  <c:v>550</c:v>
                </c:pt>
                <c:pt idx="8">
                  <c:v>2010</c:v>
                </c:pt>
                <c:pt idx="9">
                  <c:v>350</c:v>
                </c:pt>
                <c:pt idx="10">
                  <c:v>240</c:v>
                </c:pt>
                <c:pt idx="11">
                  <c:v>430</c:v>
                </c:pt>
                <c:pt idx="12">
                  <c:v>220</c:v>
                </c:pt>
                <c:pt idx="13">
                  <c:v>620</c:v>
                </c:pt>
                <c:pt idx="14">
                  <c:v>410</c:v>
                </c:pt>
                <c:pt idx="15">
                  <c:v>860</c:v>
                </c:pt>
                <c:pt idx="16">
                  <c:v>1570</c:v>
                </c:pt>
                <c:pt idx="17">
                  <c:v>500</c:v>
                </c:pt>
              </c:numCache>
            </c:numRef>
          </c:val>
        </c:ser>
        <c:dLbls>
          <c:showLegendKey val="0"/>
          <c:showVal val="0"/>
          <c:showCatName val="0"/>
          <c:showSerName val="0"/>
          <c:showPercent val="0"/>
          <c:showBubbleSize val="0"/>
        </c:dLbls>
        <c:gapWidth val="182"/>
        <c:axId val="-1392788976"/>
        <c:axId val="-1392792784"/>
      </c:barChart>
      <c:catAx>
        <c:axId val="-139278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792784"/>
        <c:crosses val="autoZero"/>
        <c:auto val="1"/>
        <c:lblAlgn val="ctr"/>
        <c:lblOffset val="100"/>
        <c:noMultiLvlLbl val="0"/>
      </c:catAx>
      <c:valAx>
        <c:axId val="-1392792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788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571500</xdr:colOff>
      <xdr:row>2</xdr:row>
      <xdr:rowOff>0</xdr:rowOff>
    </xdr:from>
    <xdr:to>
      <xdr:col>8</xdr:col>
      <xdr:colOff>387350</xdr:colOff>
      <xdr:row>12</xdr:row>
      <xdr:rowOff>38100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596900</xdr:colOff>
      <xdr:row>12</xdr:row>
      <xdr:rowOff>133350</xdr:rowOff>
    </xdr:from>
    <xdr:to>
      <xdr:col>9</xdr:col>
      <xdr:colOff>406400</xdr:colOff>
      <xdr:row>23</xdr:row>
      <xdr:rowOff>177800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463550</xdr:colOff>
      <xdr:row>2</xdr:row>
      <xdr:rowOff>0</xdr:rowOff>
    </xdr:from>
    <xdr:to>
      <xdr:col>12</xdr:col>
      <xdr:colOff>539750</xdr:colOff>
      <xdr:row>12</xdr:row>
      <xdr:rowOff>50800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488950</xdr:colOff>
      <xdr:row>12</xdr:row>
      <xdr:rowOff>146050</xdr:rowOff>
    </xdr:from>
    <xdr:to>
      <xdr:col>14</xdr:col>
      <xdr:colOff>476250</xdr:colOff>
      <xdr:row>23</xdr:row>
      <xdr:rowOff>152400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546101</xdr:colOff>
      <xdr:row>12</xdr:row>
      <xdr:rowOff>120650</xdr:rowOff>
    </xdr:from>
    <xdr:to>
      <xdr:col>19</xdr:col>
      <xdr:colOff>336551</xdr:colOff>
      <xdr:row>23</xdr:row>
      <xdr:rowOff>146050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6350</xdr:colOff>
      <xdr:row>2</xdr:row>
      <xdr:rowOff>0</xdr:rowOff>
    </xdr:from>
    <xdr:to>
      <xdr:col>19</xdr:col>
      <xdr:colOff>355600</xdr:colOff>
      <xdr:row>12</xdr:row>
      <xdr:rowOff>63500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17</xdr:row>
      <xdr:rowOff>107950</xdr:rowOff>
    </xdr:from>
    <xdr:to>
      <xdr:col>2</xdr:col>
      <xdr:colOff>438150</xdr:colOff>
      <xdr:row>24</xdr:row>
      <xdr:rowOff>6350</xdr:rowOff>
    </xdr:to>
    <mc:AlternateContent xmlns:mc="http://schemas.openxmlformats.org/markup-compatibility/2006" xmlns:a14="http://schemas.microsoft.com/office/drawing/2010/main">
      <mc:Choice Requires="a14">
        <xdr:graphicFrame macro="">
          <xdr:nvGraphicFramePr>
            <xdr:cNvPr id="8" name="Order Status"/>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0" y="3511550"/>
              <a:ext cx="1657350" cy="1187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25400</xdr:rowOff>
    </xdr:from>
    <xdr:to>
      <xdr:col>2</xdr:col>
      <xdr:colOff>495300</xdr:colOff>
      <xdr:row>17</xdr:row>
      <xdr:rowOff>85725</xdr:rowOff>
    </xdr:to>
    <mc:AlternateContent xmlns:mc="http://schemas.openxmlformats.org/markup-compatibility/2006" xmlns:a14="http://schemas.microsoft.com/office/drawing/2010/main">
      <mc:Choice Requires="a14">
        <xdr:graphicFrame macro="">
          <xdr:nvGraphicFramePr>
            <xdr:cNvPr id="9" name="Product Name"/>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0" y="666750"/>
              <a:ext cx="1714500" cy="2822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527050</xdr:colOff>
      <xdr:row>2</xdr:row>
      <xdr:rowOff>38100</xdr:rowOff>
    </xdr:from>
    <xdr:to>
      <xdr:col>4</xdr:col>
      <xdr:colOff>533400</xdr:colOff>
      <xdr:row>17</xdr:row>
      <xdr:rowOff>57150</xdr:rowOff>
    </xdr:to>
    <mc:AlternateContent xmlns:mc="http://schemas.openxmlformats.org/markup-compatibility/2006" xmlns:a14="http://schemas.microsoft.com/office/drawing/2010/main">
      <mc:Choice Requires="a14">
        <xdr:graphicFrame macro="">
          <xdr:nvGraphicFramePr>
            <xdr:cNvPr id="10"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746250" y="679450"/>
              <a:ext cx="1225550" cy="2781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501650</xdr:colOff>
      <xdr:row>17</xdr:row>
      <xdr:rowOff>107951</xdr:rowOff>
    </xdr:from>
    <xdr:to>
      <xdr:col>4</xdr:col>
      <xdr:colOff>558800</xdr:colOff>
      <xdr:row>24</xdr:row>
      <xdr:rowOff>6350</xdr:rowOff>
    </xdr:to>
    <mc:AlternateContent xmlns:mc="http://schemas.openxmlformats.org/markup-compatibility/2006" xmlns:a14="http://schemas.microsoft.com/office/drawing/2010/main">
      <mc:Choice Requires="a14">
        <xdr:graphicFrame macro="">
          <xdr:nvGraphicFramePr>
            <xdr:cNvPr id="11"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20850" y="3511551"/>
              <a:ext cx="1276350" cy="1187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3420" refreshedDate="45986.711732523145" createdVersion="5" refreshedVersion="5" minRefreshableVersion="3" recordCount="50">
  <cacheSource type="worksheet">
    <worksheetSource ref="A1:M51" sheet="Ecommerence Data"/>
  </cacheSource>
  <cacheFields count="13">
    <cacheField name="Order ID" numFmtId="0">
      <sharedItems containsSemiMixedTypes="0" containsString="0" containsNumber="1" containsInteger="1" minValue="1001" maxValue="1050"/>
    </cacheField>
    <cacheField name="Order Date" numFmtId="14">
      <sharedItems containsSemiMixedTypes="0" containsNonDate="0" containsDate="1" containsString="0" minDate="2024-01-03T00:00:00" maxDate="2024-02-18T00:00:00"/>
    </cacheField>
    <cacheField name="Customer Name" numFmtId="0">
      <sharedItems/>
    </cacheField>
    <cacheField name="City" numFmtId="0">
      <sharedItems count="7">
        <s v="Hyderabad"/>
        <s v="Bangalore"/>
        <s v="Delhi"/>
        <s v="Mumbai"/>
        <s v="Pune"/>
        <s v="Kolkata"/>
        <s v="Chennai"/>
      </sharedItems>
    </cacheField>
    <cacheField name="Category" numFmtId="0">
      <sharedItems count="3">
        <s v="Electronics"/>
        <s v="Fashion"/>
        <s v="Home Decor"/>
      </sharedItems>
    </cacheField>
    <cacheField name="Product Name" numFmtId="0">
      <sharedItems count="50">
        <s v="Wireless Mouse"/>
        <s v="Keyboard"/>
        <s v="Sports Shoes"/>
        <s v="Table Lamp"/>
        <s v="Earbuds"/>
        <s v="Power Bank"/>
        <s v="Men T-Shirt"/>
        <s v="Wall Clock"/>
        <s v="Handbag"/>
        <s v="Smartwatch"/>
        <s v="Bedside Lamp"/>
        <s v="USB Cable"/>
        <s v="Kurti"/>
        <s v="Bluetooth Speaker"/>
        <s v="Flower Vase"/>
        <s v="Saree"/>
        <s v="Phone Cover"/>
        <s v="Webcam"/>
        <s v="Jeans"/>
        <s v="Candle Set"/>
        <s v="Earphones"/>
        <s v="Top"/>
        <s v="Curtains"/>
        <s v="Jacket"/>
        <s v="Trimmer"/>
        <s v="Charger"/>
        <s v="Earrings"/>
        <s v="Cushion Cover"/>
        <s v="Monitor"/>
        <s v="Router"/>
        <s v="Sandals"/>
        <s v="Doormat"/>
        <s v="LED Bulb"/>
        <s v="Shirt"/>
        <s v="Showpiece"/>
        <s v="Printer"/>
        <s v="Shorts"/>
        <s v="Table Mat"/>
        <s v="Tablet"/>
        <s v="Watch"/>
        <s v="Plant Pot"/>
        <s v="Headphones"/>
        <s v="Scarf"/>
        <s v="Photo Frame"/>
        <s v="Laptop Stand"/>
        <s v="Formal Shoes"/>
        <s v="LED Strip"/>
        <s v="Camera"/>
        <s v="Leggings"/>
        <s v="Mirror"/>
      </sharedItems>
    </cacheField>
    <cacheField name="Order Status" numFmtId="0">
      <sharedItems count="3">
        <s v="Delivered"/>
        <s v="Returned"/>
        <s v="Cancelled"/>
      </sharedItems>
    </cacheField>
    <cacheField name="Unit Price" numFmtId="0">
      <sharedItems containsSemiMixedTypes="0" containsString="0" containsNumber="1" containsInteger="1" minValue="149" maxValue="24999"/>
    </cacheField>
    <cacheField name="Quantity" numFmtId="0">
      <sharedItems containsSemiMixedTypes="0" containsString="0" containsNumber="1" containsInteger="1" minValue="1" maxValue="6"/>
    </cacheField>
    <cacheField name="Payment Mode" numFmtId="0">
      <sharedItems count="3">
        <s v="UPI"/>
        <s v="COD"/>
        <s v="Card"/>
      </sharedItems>
    </cacheField>
    <cacheField name="Discount %" numFmtId="0">
      <sharedItems containsSemiMixedTypes="0" containsString="0" containsNumber="1" containsInteger="1" minValue="0" maxValue="10"/>
    </cacheField>
    <cacheField name="Profit" numFmtId="0">
      <sharedItems containsSemiMixedTypes="0" containsString="0" containsNumber="1" containsInteger="1" minValue="-149" maxValue="5000"/>
    </cacheField>
    <cacheField name="Total Sales" numFmtId="0">
      <sharedItems containsSemiMixedTypes="0" containsString="0" containsNumber="1" containsInteger="1" minValue="598" maxValue="24999"/>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n v="1001"/>
    <d v="2024-01-03T00:00:00"/>
    <s v="Rahul Sharma"/>
    <x v="0"/>
    <x v="0"/>
    <x v="0"/>
    <x v="0"/>
    <n v="799"/>
    <n v="2"/>
    <x v="0"/>
    <n v="5"/>
    <n v="350"/>
    <n v="1598"/>
  </r>
  <r>
    <n v="1002"/>
    <d v="2024-01-05T00:00:00"/>
    <s v="Pooja Verma"/>
    <x v="1"/>
    <x v="0"/>
    <x v="1"/>
    <x v="0"/>
    <n v="1299"/>
    <n v="1"/>
    <x v="1"/>
    <n v="0"/>
    <n v="280"/>
    <n v="1299"/>
  </r>
  <r>
    <n v="1003"/>
    <d v="2024-01-06T00:00:00"/>
    <s v="Amit Singh"/>
    <x v="2"/>
    <x v="1"/>
    <x v="2"/>
    <x v="0"/>
    <n v="2499"/>
    <n v="1"/>
    <x v="2"/>
    <n v="10"/>
    <n v="600"/>
    <n v="2499"/>
  </r>
  <r>
    <n v="1004"/>
    <d v="2024-01-07T00:00:00"/>
    <s v="Komal Jain"/>
    <x v="3"/>
    <x v="2"/>
    <x v="3"/>
    <x v="0"/>
    <n v="999"/>
    <n v="3"/>
    <x v="0"/>
    <n v="0"/>
    <n v="720"/>
    <n v="2997"/>
  </r>
  <r>
    <n v="1005"/>
    <d v="2024-01-08T00:00:00"/>
    <s v="Suresh Rao"/>
    <x v="4"/>
    <x v="0"/>
    <x v="4"/>
    <x v="1"/>
    <n v="1499"/>
    <n v="1"/>
    <x v="0"/>
    <n v="0"/>
    <n v="-149"/>
    <n v="1499"/>
  </r>
  <r>
    <n v="1006"/>
    <d v="2024-01-09T00:00:00"/>
    <s v="Riya Gupta"/>
    <x v="5"/>
    <x v="0"/>
    <x v="5"/>
    <x v="0"/>
    <n v="1099"/>
    <n v="2"/>
    <x v="2"/>
    <n v="5"/>
    <n v="460"/>
    <n v="2198"/>
  </r>
  <r>
    <n v="1007"/>
    <d v="2024-01-09T00:00:00"/>
    <s v="Karan Mehta"/>
    <x v="6"/>
    <x v="1"/>
    <x v="6"/>
    <x v="0"/>
    <n v="599"/>
    <n v="3"/>
    <x v="1"/>
    <n v="0"/>
    <n v="300"/>
    <n v="1797"/>
  </r>
  <r>
    <n v="1008"/>
    <d v="2024-01-10T00:00:00"/>
    <s v="Deepak Kumar"/>
    <x v="0"/>
    <x v="2"/>
    <x v="7"/>
    <x v="0"/>
    <n v="1299"/>
    <n v="1"/>
    <x v="0"/>
    <n v="5"/>
    <n v="250"/>
    <n v="1299"/>
  </r>
  <r>
    <n v="1009"/>
    <d v="2024-01-11T00:00:00"/>
    <s v="Nikita Sharma"/>
    <x v="1"/>
    <x v="1"/>
    <x v="8"/>
    <x v="0"/>
    <n v="1999"/>
    <n v="1"/>
    <x v="2"/>
    <n v="8"/>
    <n v="450"/>
    <n v="1999"/>
  </r>
  <r>
    <n v="1010"/>
    <d v="2024-01-12T00:00:00"/>
    <s v="Vishal Singh"/>
    <x v="3"/>
    <x v="0"/>
    <x v="9"/>
    <x v="2"/>
    <n v="2999"/>
    <n v="1"/>
    <x v="0"/>
    <n v="0"/>
    <n v="0"/>
    <n v="2999"/>
  </r>
  <r>
    <n v="1011"/>
    <d v="2024-01-13T00:00:00"/>
    <s v="Harsh Patel"/>
    <x v="4"/>
    <x v="2"/>
    <x v="10"/>
    <x v="0"/>
    <n v="899"/>
    <n v="2"/>
    <x v="1"/>
    <n v="0"/>
    <n v="380"/>
    <n v="1798"/>
  </r>
  <r>
    <n v="1012"/>
    <d v="2024-01-14T00:00:00"/>
    <s v="Aisha Khan"/>
    <x v="2"/>
    <x v="0"/>
    <x v="11"/>
    <x v="0"/>
    <n v="299"/>
    <n v="4"/>
    <x v="0"/>
    <n v="0"/>
    <n v="200"/>
    <n v="1196"/>
  </r>
  <r>
    <n v="1013"/>
    <d v="2024-01-14T00:00:00"/>
    <s v="Anjali Rao"/>
    <x v="6"/>
    <x v="1"/>
    <x v="12"/>
    <x v="0"/>
    <n v="799"/>
    <n v="1"/>
    <x v="2"/>
    <n v="5"/>
    <n v="150"/>
    <n v="799"/>
  </r>
  <r>
    <n v="1014"/>
    <d v="2024-01-15T00:00:00"/>
    <s v="Parth Shah"/>
    <x v="5"/>
    <x v="0"/>
    <x v="13"/>
    <x v="0"/>
    <n v="2499"/>
    <n v="1"/>
    <x v="1"/>
    <n v="10"/>
    <n v="550"/>
    <n v="2499"/>
  </r>
  <r>
    <n v="1015"/>
    <d v="2024-01-16T00:00:00"/>
    <s v="Mohit Jain"/>
    <x v="1"/>
    <x v="2"/>
    <x v="14"/>
    <x v="0"/>
    <n v="599"/>
    <n v="2"/>
    <x v="0"/>
    <n v="5"/>
    <n v="240"/>
    <n v="1198"/>
  </r>
  <r>
    <n v="1016"/>
    <d v="2024-01-17T00:00:00"/>
    <s v="Kritika Sen"/>
    <x v="0"/>
    <x v="1"/>
    <x v="15"/>
    <x v="0"/>
    <n v="1499"/>
    <n v="1"/>
    <x v="1"/>
    <n v="0"/>
    <n v="350"/>
    <n v="1499"/>
  </r>
  <r>
    <n v="1017"/>
    <d v="2024-01-17T00:00:00"/>
    <s v="Sumit Roy"/>
    <x v="4"/>
    <x v="0"/>
    <x v="16"/>
    <x v="0"/>
    <n v="299"/>
    <n v="3"/>
    <x v="2"/>
    <n v="0"/>
    <n v="140"/>
    <n v="897"/>
  </r>
  <r>
    <n v="1018"/>
    <d v="2024-01-18T00:00:00"/>
    <s v="Priya Mehta"/>
    <x v="2"/>
    <x v="0"/>
    <x v="17"/>
    <x v="0"/>
    <n v="1899"/>
    <n v="1"/>
    <x v="0"/>
    <n v="5"/>
    <n v="400"/>
    <n v="1899"/>
  </r>
  <r>
    <n v="1019"/>
    <d v="2024-01-19T00:00:00"/>
    <s v="Rohit Sharma"/>
    <x v="3"/>
    <x v="1"/>
    <x v="18"/>
    <x v="0"/>
    <n v="1299"/>
    <n v="1"/>
    <x v="1"/>
    <n v="0"/>
    <n v="250"/>
    <n v="1299"/>
  </r>
  <r>
    <n v="1020"/>
    <d v="2024-01-20T00:00:00"/>
    <s v="Nisha Agarwal"/>
    <x v="6"/>
    <x v="2"/>
    <x v="19"/>
    <x v="0"/>
    <n v="499"/>
    <n v="4"/>
    <x v="0"/>
    <n v="0"/>
    <n v="300"/>
    <n v="1996"/>
  </r>
  <r>
    <n v="1021"/>
    <d v="2024-01-21T00:00:00"/>
    <s v="Arjun Gupta"/>
    <x v="5"/>
    <x v="0"/>
    <x v="20"/>
    <x v="0"/>
    <n v="699"/>
    <n v="2"/>
    <x v="2"/>
    <n v="5"/>
    <n v="260"/>
    <n v="1398"/>
  </r>
  <r>
    <n v="1022"/>
    <d v="2024-01-22T00:00:00"/>
    <s v="Mansi Shah"/>
    <x v="2"/>
    <x v="1"/>
    <x v="21"/>
    <x v="0"/>
    <n v="499"/>
    <n v="3"/>
    <x v="0"/>
    <n v="0"/>
    <n v="280"/>
    <n v="1497"/>
  </r>
  <r>
    <n v="1023"/>
    <d v="2024-01-23T00:00:00"/>
    <s v="Kunal Verma"/>
    <x v="0"/>
    <x v="2"/>
    <x v="22"/>
    <x v="0"/>
    <n v="999"/>
    <n v="2"/>
    <x v="1"/>
    <n v="5"/>
    <n v="350"/>
    <n v="1998"/>
  </r>
  <r>
    <n v="1024"/>
    <d v="2024-01-24T00:00:00"/>
    <s v="Ankit Patel"/>
    <x v="1"/>
    <x v="1"/>
    <x v="23"/>
    <x v="0"/>
    <n v="2899"/>
    <n v="1"/>
    <x v="0"/>
    <n v="10"/>
    <n v="600"/>
    <n v="2899"/>
  </r>
  <r>
    <n v="1025"/>
    <d v="2024-01-25T00:00:00"/>
    <s v="Sweta Singh"/>
    <x v="3"/>
    <x v="0"/>
    <x v="24"/>
    <x v="0"/>
    <n v="1599"/>
    <n v="1"/>
    <x v="1"/>
    <n v="0"/>
    <n v="300"/>
    <n v="1599"/>
  </r>
  <r>
    <n v="1026"/>
    <d v="2024-01-26T00:00:00"/>
    <s v="Vikas Rao"/>
    <x v="4"/>
    <x v="0"/>
    <x v="25"/>
    <x v="0"/>
    <n v="499"/>
    <n v="3"/>
    <x v="2"/>
    <n v="0"/>
    <n v="210"/>
    <n v="1497"/>
  </r>
  <r>
    <n v="1027"/>
    <d v="2024-01-27T00:00:00"/>
    <s v="Divya Nair"/>
    <x v="6"/>
    <x v="1"/>
    <x v="26"/>
    <x v="0"/>
    <n v="299"/>
    <n v="2"/>
    <x v="2"/>
    <n v="0"/>
    <n v="100"/>
    <n v="598"/>
  </r>
  <r>
    <n v="1028"/>
    <d v="2024-01-28T00:00:00"/>
    <s v="Akash Jain"/>
    <x v="0"/>
    <x v="2"/>
    <x v="27"/>
    <x v="0"/>
    <n v="399"/>
    <n v="4"/>
    <x v="1"/>
    <n v="5"/>
    <n v="260"/>
    <n v="1596"/>
  </r>
  <r>
    <n v="1029"/>
    <d v="2024-01-28T00:00:00"/>
    <s v="Megha Sharma"/>
    <x v="2"/>
    <x v="0"/>
    <x v="28"/>
    <x v="0"/>
    <n v="7999"/>
    <n v="1"/>
    <x v="2"/>
    <n v="5"/>
    <n v="1500"/>
    <n v="7999"/>
  </r>
  <r>
    <n v="1030"/>
    <d v="2024-01-29T00:00:00"/>
    <s v="Rajeev Kumar"/>
    <x v="1"/>
    <x v="0"/>
    <x v="29"/>
    <x v="0"/>
    <n v="1999"/>
    <n v="1"/>
    <x v="0"/>
    <n v="8"/>
    <n v="400"/>
    <n v="1999"/>
  </r>
  <r>
    <n v="1031"/>
    <d v="2024-01-30T00:00:00"/>
    <s v="Shruti Singh"/>
    <x v="3"/>
    <x v="1"/>
    <x v="30"/>
    <x v="0"/>
    <n v="999"/>
    <n v="1"/>
    <x v="1"/>
    <n v="0"/>
    <n v="180"/>
    <n v="999"/>
  </r>
  <r>
    <n v="1032"/>
    <d v="2024-01-31T00:00:00"/>
    <s v="Harish Kumar"/>
    <x v="4"/>
    <x v="2"/>
    <x v="31"/>
    <x v="0"/>
    <n v="299"/>
    <n v="3"/>
    <x v="0"/>
    <n v="0"/>
    <n v="120"/>
    <n v="897"/>
  </r>
  <r>
    <n v="1033"/>
    <d v="2024-02-01T00:00:00"/>
    <s v="Roshni Patel"/>
    <x v="5"/>
    <x v="0"/>
    <x v="32"/>
    <x v="0"/>
    <n v="149"/>
    <n v="6"/>
    <x v="1"/>
    <n v="0"/>
    <n v="160"/>
    <n v="894"/>
  </r>
  <r>
    <n v="1034"/>
    <d v="2024-02-02T00:00:00"/>
    <s v="Ananya Mehra"/>
    <x v="2"/>
    <x v="1"/>
    <x v="33"/>
    <x v="0"/>
    <n v="899"/>
    <n v="1"/>
    <x v="2"/>
    <n v="0"/>
    <n v="180"/>
    <n v="899"/>
  </r>
  <r>
    <n v="1035"/>
    <d v="2024-02-03T00:00:00"/>
    <s v="Samir Gupta"/>
    <x v="3"/>
    <x v="2"/>
    <x v="34"/>
    <x v="0"/>
    <n v="1299"/>
    <n v="1"/>
    <x v="0"/>
    <n v="5"/>
    <n v="250"/>
    <n v="1299"/>
  </r>
  <r>
    <n v="1036"/>
    <d v="2024-02-04T00:00:00"/>
    <s v="Kavya Sharma"/>
    <x v="1"/>
    <x v="0"/>
    <x v="35"/>
    <x v="0"/>
    <n v="5999"/>
    <n v="1"/>
    <x v="2"/>
    <n v="10"/>
    <n v="1200"/>
    <n v="5999"/>
  </r>
  <r>
    <n v="1037"/>
    <d v="2024-02-05T00:00:00"/>
    <s v="Nitin Rao"/>
    <x v="4"/>
    <x v="1"/>
    <x v="36"/>
    <x v="0"/>
    <n v="699"/>
    <n v="2"/>
    <x v="1"/>
    <n v="0"/>
    <n v="220"/>
    <n v="1398"/>
  </r>
  <r>
    <n v="1038"/>
    <d v="2024-02-05T00:00:00"/>
    <s v="Muskan Jain"/>
    <x v="6"/>
    <x v="2"/>
    <x v="37"/>
    <x v="0"/>
    <n v="249"/>
    <n v="3"/>
    <x v="0"/>
    <n v="0"/>
    <n v="110"/>
    <n v="747"/>
  </r>
  <r>
    <n v="1039"/>
    <d v="2024-02-06T00:00:00"/>
    <s v="Shivam Singh"/>
    <x v="0"/>
    <x v="0"/>
    <x v="38"/>
    <x v="0"/>
    <n v="14999"/>
    <n v="1"/>
    <x v="2"/>
    <n v="5"/>
    <n v="2800"/>
    <n v="14999"/>
  </r>
  <r>
    <n v="1040"/>
    <d v="2024-02-07T00:00:00"/>
    <s v="Aryan Patel"/>
    <x v="2"/>
    <x v="1"/>
    <x v="39"/>
    <x v="0"/>
    <n v="1999"/>
    <n v="1"/>
    <x v="1"/>
    <n v="0"/>
    <n v="400"/>
    <n v="1999"/>
  </r>
  <r>
    <n v="1041"/>
    <d v="2024-02-08T00:00:00"/>
    <s v="Reema Gupta"/>
    <x v="3"/>
    <x v="2"/>
    <x v="40"/>
    <x v="0"/>
    <n v="699"/>
    <n v="2"/>
    <x v="0"/>
    <n v="0"/>
    <n v="250"/>
    <n v="1398"/>
  </r>
  <r>
    <n v="1042"/>
    <d v="2024-02-09T00:00:00"/>
    <s v="Sachin Verma"/>
    <x v="4"/>
    <x v="0"/>
    <x v="41"/>
    <x v="0"/>
    <n v="1999"/>
    <n v="1"/>
    <x v="1"/>
    <n v="0"/>
    <n v="350"/>
    <n v="1999"/>
  </r>
  <r>
    <n v="1043"/>
    <d v="2024-02-10T00:00:00"/>
    <s v="Naina Shah"/>
    <x v="5"/>
    <x v="1"/>
    <x v="42"/>
    <x v="0"/>
    <n v="299"/>
    <n v="2"/>
    <x v="0"/>
    <n v="0"/>
    <n v="90"/>
    <n v="598"/>
  </r>
  <r>
    <n v="1044"/>
    <d v="2024-02-11T00:00:00"/>
    <s v="Manish Kumar"/>
    <x v="1"/>
    <x v="2"/>
    <x v="43"/>
    <x v="0"/>
    <n v="499"/>
    <n v="3"/>
    <x v="2"/>
    <n v="0"/>
    <n v="200"/>
    <n v="1497"/>
  </r>
  <r>
    <n v="1045"/>
    <d v="2024-02-12T00:00:00"/>
    <s v="Neha Singh"/>
    <x v="0"/>
    <x v="0"/>
    <x v="44"/>
    <x v="0"/>
    <n v="1299"/>
    <n v="1"/>
    <x v="0"/>
    <n v="5"/>
    <n v="250"/>
    <n v="1299"/>
  </r>
  <r>
    <n v="1046"/>
    <d v="2024-02-13T00:00:00"/>
    <s v="Aayush Jain"/>
    <x v="2"/>
    <x v="1"/>
    <x v="45"/>
    <x v="0"/>
    <n v="2499"/>
    <n v="1"/>
    <x v="1"/>
    <n v="10"/>
    <n v="550"/>
    <n v="2499"/>
  </r>
  <r>
    <n v="1047"/>
    <d v="2024-02-14T00:00:00"/>
    <s v="Ritika Roy"/>
    <x v="3"/>
    <x v="2"/>
    <x v="46"/>
    <x v="0"/>
    <n v="399"/>
    <n v="5"/>
    <x v="2"/>
    <n v="0"/>
    <n v="350"/>
    <n v="1995"/>
  </r>
  <r>
    <n v="1048"/>
    <d v="2024-02-15T00:00:00"/>
    <s v="Jay Shah"/>
    <x v="4"/>
    <x v="0"/>
    <x v="47"/>
    <x v="0"/>
    <n v="24999"/>
    <n v="1"/>
    <x v="0"/>
    <n v="10"/>
    <n v="5000"/>
    <n v="24999"/>
  </r>
  <r>
    <n v="1049"/>
    <d v="2024-02-16T00:00:00"/>
    <s v="Mona Rao"/>
    <x v="5"/>
    <x v="1"/>
    <x v="48"/>
    <x v="0"/>
    <n v="499"/>
    <n v="2"/>
    <x v="1"/>
    <n v="0"/>
    <n v="150"/>
    <n v="998"/>
  </r>
  <r>
    <n v="1050"/>
    <d v="2024-02-17T00:00:00"/>
    <s v="Sunny Kumar"/>
    <x v="1"/>
    <x v="2"/>
    <x v="49"/>
    <x v="0"/>
    <n v="999"/>
    <n v="1"/>
    <x v="0"/>
    <n v="5"/>
    <n v="180"/>
    <n v="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H17:I39" firstHeaderRow="1" firstDataRow="1" firstDataCol="1"/>
  <pivotFields count="13">
    <pivotField showAll="0"/>
    <pivotField numFmtId="14" showAll="0"/>
    <pivotField showAll="0"/>
    <pivotField axis="axisRow" showAll="0">
      <items count="8">
        <item x="1"/>
        <item x="6"/>
        <item x="2"/>
        <item x="0"/>
        <item x="5"/>
        <item x="3"/>
        <item x="4"/>
        <item t="default"/>
      </items>
    </pivotField>
    <pivotField axis="axisRow" showAll="0">
      <items count="4">
        <item x="0"/>
        <item x="1"/>
        <item x="2"/>
        <item t="default"/>
      </items>
    </pivotField>
    <pivotField showAll="0"/>
    <pivotField showAll="0">
      <items count="4">
        <item h="1" x="2"/>
        <item x="0"/>
        <item h="1" x="1"/>
        <item t="default"/>
      </items>
    </pivotField>
    <pivotField showAll="0"/>
    <pivotField showAll="0"/>
    <pivotField showAll="0"/>
    <pivotField showAll="0"/>
    <pivotField dataField="1" showAll="0"/>
    <pivotField showAll="0"/>
  </pivotFields>
  <rowFields count="2">
    <field x="4"/>
    <field x="3"/>
  </rowFields>
  <rowItems count="22">
    <i>
      <x/>
    </i>
    <i r="1">
      <x/>
    </i>
    <i r="1">
      <x v="2"/>
    </i>
    <i r="1">
      <x v="3"/>
    </i>
    <i r="1">
      <x v="4"/>
    </i>
    <i r="1">
      <x v="5"/>
    </i>
    <i r="1">
      <x v="6"/>
    </i>
    <i>
      <x v="1"/>
    </i>
    <i r="1">
      <x/>
    </i>
    <i r="1">
      <x v="1"/>
    </i>
    <i r="1">
      <x v="2"/>
    </i>
    <i r="1">
      <x v="3"/>
    </i>
    <i r="1">
      <x v="4"/>
    </i>
    <i r="1">
      <x v="5"/>
    </i>
    <i r="1">
      <x v="6"/>
    </i>
    <i>
      <x v="2"/>
    </i>
    <i r="1">
      <x/>
    </i>
    <i r="1">
      <x v="1"/>
    </i>
    <i r="1">
      <x v="3"/>
    </i>
    <i r="1">
      <x v="5"/>
    </i>
    <i r="1">
      <x v="6"/>
    </i>
    <i t="grand">
      <x/>
    </i>
  </rowItems>
  <colItems count="1">
    <i/>
  </colItems>
  <dataFields count="1">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L4:L5" firstHeaderRow="1" firstDataRow="1" firstDataCol="0"/>
  <pivotFields count="13">
    <pivotField showAll="0"/>
    <pivotField numFmtId="14" showAll="0"/>
    <pivotField showAll="0"/>
    <pivotField showAll="0"/>
    <pivotField showAll="0"/>
    <pivotField showAll="0"/>
    <pivotField showAll="0">
      <items count="4">
        <item h="1" x="2"/>
        <item x="0"/>
        <item h="1" x="1"/>
        <item t="default"/>
      </items>
    </pivotField>
    <pivotField showAll="0"/>
    <pivotField showAll="0"/>
    <pivotField showAll="0"/>
    <pivotField showAll="0"/>
    <pivotField showAll="0"/>
    <pivotField dataField="1" showAll="0"/>
  </pivotFields>
  <rowItems count="1">
    <i/>
  </rowItems>
  <colItems count="1">
    <i/>
  </colItems>
  <dataFields count="1">
    <dataField name="Sum of Total Sales" fld="12"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E3:F7" firstHeaderRow="1" firstDataRow="1" firstDataCol="1"/>
  <pivotFields count="13">
    <pivotField showAll="0"/>
    <pivotField numFmtId="14" showAll="0"/>
    <pivotField showAll="0"/>
    <pivotField showAll="0"/>
    <pivotField axis="axisRow" showAll="0">
      <items count="4">
        <item x="0"/>
        <item x="1"/>
        <item x="2"/>
        <item t="default"/>
      </items>
    </pivotField>
    <pivotField showAll="0">
      <items count="51">
        <item x="10"/>
        <item x="13"/>
        <item x="47"/>
        <item x="19"/>
        <item x="25"/>
        <item x="22"/>
        <item x="27"/>
        <item x="31"/>
        <item x="4"/>
        <item x="20"/>
        <item x="26"/>
        <item x="14"/>
        <item x="45"/>
        <item x="8"/>
        <item x="41"/>
        <item x="23"/>
        <item x="18"/>
        <item x="1"/>
        <item x="12"/>
        <item x="44"/>
        <item x="32"/>
        <item x="46"/>
        <item x="48"/>
        <item x="6"/>
        <item x="49"/>
        <item x="28"/>
        <item x="16"/>
        <item x="43"/>
        <item x="40"/>
        <item x="5"/>
        <item x="35"/>
        <item x="29"/>
        <item x="30"/>
        <item x="15"/>
        <item x="42"/>
        <item x="33"/>
        <item x="36"/>
        <item x="34"/>
        <item x="9"/>
        <item x="2"/>
        <item x="3"/>
        <item x="37"/>
        <item x="38"/>
        <item x="21"/>
        <item x="24"/>
        <item x="11"/>
        <item x="7"/>
        <item x="39"/>
        <item x="17"/>
        <item x="0"/>
        <item t="default"/>
      </items>
    </pivotField>
    <pivotField showAll="0">
      <items count="4">
        <item h="1" x="2"/>
        <item x="0"/>
        <item h="1" x="1"/>
        <item t="default"/>
      </items>
    </pivotField>
    <pivotField showAll="0"/>
    <pivotField showAll="0"/>
    <pivotField showAll="0"/>
    <pivotField dataField="1" showAll="0"/>
    <pivotField showAll="0"/>
    <pivotField showAll="0"/>
  </pivotFields>
  <rowFields count="1">
    <field x="4"/>
  </rowFields>
  <rowItems count="4">
    <i>
      <x/>
    </i>
    <i>
      <x v="1"/>
    </i>
    <i>
      <x v="2"/>
    </i>
    <i t="grand">
      <x/>
    </i>
  </rowItems>
  <colItems count="1">
    <i/>
  </colItems>
  <dataFields count="1">
    <dataField name="Average of Discount %" fld="10" subtotal="average" baseField="4"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H10:I14" firstHeaderRow="1" firstDataRow="1" firstDataCol="1"/>
  <pivotFields count="13">
    <pivotField showAll="0"/>
    <pivotField numFmtId="14" showAll="0"/>
    <pivotField showAll="0"/>
    <pivotField showAll="0"/>
    <pivotField showAll="0"/>
    <pivotField showAll="0">
      <items count="51">
        <item x="10"/>
        <item x="13"/>
        <item x="47"/>
        <item x="19"/>
        <item x="25"/>
        <item x="22"/>
        <item x="27"/>
        <item x="31"/>
        <item x="4"/>
        <item x="20"/>
        <item x="26"/>
        <item x="14"/>
        <item x="45"/>
        <item x="8"/>
        <item x="41"/>
        <item x="23"/>
        <item x="18"/>
        <item x="1"/>
        <item x="12"/>
        <item x="44"/>
        <item x="32"/>
        <item x="46"/>
        <item x="48"/>
        <item x="6"/>
        <item x="49"/>
        <item x="28"/>
        <item x="16"/>
        <item x="43"/>
        <item x="40"/>
        <item x="5"/>
        <item x="35"/>
        <item x="29"/>
        <item x="30"/>
        <item x="15"/>
        <item x="42"/>
        <item x="33"/>
        <item x="36"/>
        <item x="34"/>
        <item x="9"/>
        <item x="2"/>
        <item x="3"/>
        <item x="37"/>
        <item x="38"/>
        <item x="21"/>
        <item x="24"/>
        <item x="11"/>
        <item x="7"/>
        <item x="39"/>
        <item x="17"/>
        <item x="0"/>
        <item t="default"/>
      </items>
    </pivotField>
    <pivotField showAll="0">
      <items count="4">
        <item h="1" x="2"/>
        <item x="0"/>
        <item h="1" x="1"/>
        <item t="default"/>
      </items>
    </pivotField>
    <pivotField showAll="0"/>
    <pivotField showAll="0"/>
    <pivotField axis="axisRow" showAll="0">
      <items count="4">
        <item x="2"/>
        <item x="1"/>
        <item x="0"/>
        <item t="default"/>
      </items>
    </pivotField>
    <pivotField showAll="0"/>
    <pivotField showAll="0"/>
    <pivotField dataField="1" showAll="0"/>
  </pivotFields>
  <rowFields count="1">
    <field x="9"/>
  </rowFields>
  <rowItems count="4">
    <i>
      <x/>
    </i>
    <i>
      <x v="1"/>
    </i>
    <i>
      <x v="2"/>
    </i>
    <i t="grand">
      <x/>
    </i>
  </rowItems>
  <colItems count="1">
    <i/>
  </colItems>
  <dataFields count="1">
    <dataField name="Sum of Total Sales"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0:B59" firstHeaderRow="1" firstDataRow="1" firstDataCol="1"/>
  <pivotFields count="13">
    <pivotField showAll="0"/>
    <pivotField numFmtId="14" showAll="0"/>
    <pivotField showAll="0"/>
    <pivotField showAll="0"/>
    <pivotField showAll="0"/>
    <pivotField axis="axisRow" showAll="0">
      <items count="51">
        <item x="10"/>
        <item x="13"/>
        <item x="47"/>
        <item x="19"/>
        <item x="25"/>
        <item x="22"/>
        <item x="27"/>
        <item x="31"/>
        <item x="4"/>
        <item x="20"/>
        <item x="26"/>
        <item x="14"/>
        <item x="45"/>
        <item x="8"/>
        <item x="41"/>
        <item x="23"/>
        <item x="18"/>
        <item x="1"/>
        <item x="12"/>
        <item x="44"/>
        <item x="32"/>
        <item x="46"/>
        <item x="48"/>
        <item x="6"/>
        <item x="49"/>
        <item x="28"/>
        <item x="16"/>
        <item x="43"/>
        <item x="40"/>
        <item x="5"/>
        <item x="35"/>
        <item x="29"/>
        <item x="30"/>
        <item x="15"/>
        <item x="42"/>
        <item x="33"/>
        <item x="36"/>
        <item x="34"/>
        <item x="9"/>
        <item x="2"/>
        <item x="3"/>
        <item x="37"/>
        <item x="38"/>
        <item x="21"/>
        <item x="24"/>
        <item x="11"/>
        <item x="7"/>
        <item x="39"/>
        <item x="17"/>
        <item x="0"/>
        <item t="default"/>
      </items>
    </pivotField>
    <pivotField showAll="0">
      <items count="4">
        <item h="1" x="2"/>
        <item x="0"/>
        <item h="1" x="1"/>
        <item t="default"/>
      </items>
    </pivotField>
    <pivotField showAll="0"/>
    <pivotField showAll="0"/>
    <pivotField showAll="0"/>
    <pivotField showAll="0"/>
    <pivotField showAll="0"/>
    <pivotField dataField="1" showAll="0"/>
  </pivotFields>
  <rowFields count="1">
    <field x="5"/>
  </rowFields>
  <rowItems count="49">
    <i>
      <x/>
    </i>
    <i>
      <x v="1"/>
    </i>
    <i>
      <x v="2"/>
    </i>
    <i>
      <x v="3"/>
    </i>
    <i>
      <x v="4"/>
    </i>
    <i>
      <x v="5"/>
    </i>
    <i>
      <x v="6"/>
    </i>
    <i>
      <x v="7"/>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9"/>
    </i>
    <i>
      <x v="40"/>
    </i>
    <i>
      <x v="41"/>
    </i>
    <i>
      <x v="42"/>
    </i>
    <i>
      <x v="43"/>
    </i>
    <i>
      <x v="44"/>
    </i>
    <i>
      <x v="45"/>
    </i>
    <i>
      <x v="46"/>
    </i>
    <i>
      <x v="47"/>
    </i>
    <i>
      <x v="48"/>
    </i>
    <i>
      <x v="49"/>
    </i>
    <i t="grand">
      <x/>
    </i>
  </rowItems>
  <colItems count="1">
    <i/>
  </colItems>
  <dataFields count="1">
    <dataField name="Sum of Total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5" firstHeaderRow="1" firstDataRow="1" firstDataCol="1"/>
  <pivotFields count="13">
    <pivotField showAll="0"/>
    <pivotField numFmtId="14" showAll="0"/>
    <pivotField showAll="0"/>
    <pivotField showAll="0">
      <items count="8">
        <item h="1" x="1"/>
        <item h="1" x="6"/>
        <item h="1" x="2"/>
        <item x="0"/>
        <item h="1" x="5"/>
        <item h="1" x="3"/>
        <item h="1" x="4"/>
        <item t="default"/>
      </items>
    </pivotField>
    <pivotField axis="axisRow" showAll="0">
      <items count="4">
        <item x="0"/>
        <item h="1" x="1"/>
        <item h="1" x="2"/>
        <item t="default"/>
      </items>
    </pivotField>
    <pivotField showAll="0">
      <items count="51">
        <item x="10"/>
        <item x="13"/>
        <item x="47"/>
        <item x="19"/>
        <item x="25"/>
        <item x="22"/>
        <item x="27"/>
        <item x="31"/>
        <item x="4"/>
        <item x="20"/>
        <item x="26"/>
        <item x="14"/>
        <item x="45"/>
        <item x="8"/>
        <item x="41"/>
        <item x="23"/>
        <item x="18"/>
        <item x="1"/>
        <item x="12"/>
        <item x="44"/>
        <item x="32"/>
        <item x="46"/>
        <item x="48"/>
        <item x="6"/>
        <item x="49"/>
        <item x="28"/>
        <item x="16"/>
        <item x="43"/>
        <item x="40"/>
        <item x="5"/>
        <item x="35"/>
        <item x="29"/>
        <item x="30"/>
        <item x="15"/>
        <item x="42"/>
        <item x="33"/>
        <item x="36"/>
        <item x="34"/>
        <item x="9"/>
        <item x="2"/>
        <item x="3"/>
        <item x="37"/>
        <item x="38"/>
        <item x="21"/>
        <item x="24"/>
        <item x="11"/>
        <item x="7"/>
        <item x="39"/>
        <item x="17"/>
        <item x="0"/>
        <item t="default"/>
      </items>
    </pivotField>
    <pivotField showAll="0">
      <items count="4">
        <item h="1" x="2"/>
        <item x="0"/>
        <item h="1" x="1"/>
        <item t="default"/>
      </items>
    </pivotField>
    <pivotField showAll="0"/>
    <pivotField showAll="0"/>
    <pivotField showAll="0"/>
    <pivotField showAll="0"/>
    <pivotField showAll="0"/>
    <pivotField dataField="1" showAll="0"/>
  </pivotFields>
  <rowFields count="1">
    <field x="4"/>
  </rowFields>
  <rowItems count="2">
    <i>
      <x/>
    </i>
    <i t="grand">
      <x/>
    </i>
  </rowItems>
  <colItems count="1">
    <i/>
  </colItems>
  <dataFields count="1">
    <dataField name="Sum of Total Sales" fld="12"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H3:I7" firstHeaderRow="1" firstDataRow="1" firstDataCol="1"/>
  <pivotFields count="13">
    <pivotField showAll="0"/>
    <pivotField numFmtId="14" showAll="0"/>
    <pivotField showAll="0"/>
    <pivotField showAll="0"/>
    <pivotField axis="axisRow" showAll="0">
      <items count="4">
        <item x="0"/>
        <item x="1"/>
        <item x="2"/>
        <item t="default"/>
      </items>
    </pivotField>
    <pivotField showAll="0">
      <items count="51">
        <item x="10"/>
        <item x="13"/>
        <item x="47"/>
        <item x="19"/>
        <item x="25"/>
        <item x="22"/>
        <item x="27"/>
        <item x="31"/>
        <item x="4"/>
        <item x="20"/>
        <item x="26"/>
        <item x="14"/>
        <item x="45"/>
        <item x="8"/>
        <item x="41"/>
        <item x="23"/>
        <item x="18"/>
        <item x="1"/>
        <item x="12"/>
        <item x="44"/>
        <item x="32"/>
        <item x="46"/>
        <item x="48"/>
        <item x="6"/>
        <item x="49"/>
        <item x="28"/>
        <item x="16"/>
        <item x="43"/>
        <item x="40"/>
        <item x="5"/>
        <item x="35"/>
        <item x="29"/>
        <item x="30"/>
        <item x="15"/>
        <item x="42"/>
        <item x="33"/>
        <item x="36"/>
        <item x="34"/>
        <item x="9"/>
        <item x="2"/>
        <item x="3"/>
        <item x="37"/>
        <item x="38"/>
        <item x="21"/>
        <item x="24"/>
        <item x="11"/>
        <item x="7"/>
        <item x="39"/>
        <item x="17"/>
        <item x="0"/>
        <item t="default"/>
      </items>
    </pivotField>
    <pivotField showAll="0">
      <items count="4">
        <item h="1" x="2"/>
        <item x="0"/>
        <item h="1" x="1"/>
        <item t="default"/>
      </items>
    </pivotField>
    <pivotField showAll="0"/>
    <pivotField showAll="0"/>
    <pivotField showAll="0"/>
    <pivotField showAll="0"/>
    <pivotField dataField="1" showAll="0"/>
    <pivotField showAll="0"/>
  </pivotFields>
  <rowFields count="1">
    <field x="4"/>
  </rowFields>
  <rowItems count="4">
    <i>
      <x/>
    </i>
    <i>
      <x v="1"/>
    </i>
    <i>
      <x v="2"/>
    </i>
    <i t="grand">
      <x/>
    </i>
  </rowItems>
  <colItems count="1">
    <i/>
  </colItems>
  <dataFields count="1">
    <dataField name="Sum of Profit" fld="11"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E17:F25" firstHeaderRow="1" firstDataRow="1" firstDataCol="1"/>
  <pivotFields count="13">
    <pivotField showAll="0"/>
    <pivotField numFmtId="14" showAll="0"/>
    <pivotField showAll="0"/>
    <pivotField axis="axisRow" showAll="0">
      <items count="8">
        <item x="1"/>
        <item x="6"/>
        <item x="2"/>
        <item x="0"/>
        <item x="5"/>
        <item x="3"/>
        <item x="4"/>
        <item t="default"/>
      </items>
    </pivotField>
    <pivotField showAll="0"/>
    <pivotField showAll="0">
      <items count="51">
        <item x="10"/>
        <item x="13"/>
        <item x="47"/>
        <item x="19"/>
        <item x="25"/>
        <item x="22"/>
        <item x="27"/>
        <item x="31"/>
        <item x="4"/>
        <item x="20"/>
        <item x="26"/>
        <item x="14"/>
        <item x="45"/>
        <item x="8"/>
        <item x="41"/>
        <item x="23"/>
        <item x="18"/>
        <item x="1"/>
        <item x="12"/>
        <item x="44"/>
        <item x="32"/>
        <item x="46"/>
        <item x="48"/>
        <item x="6"/>
        <item x="49"/>
        <item x="28"/>
        <item x="16"/>
        <item x="43"/>
        <item x="40"/>
        <item x="5"/>
        <item x="35"/>
        <item x="29"/>
        <item x="30"/>
        <item x="15"/>
        <item x="42"/>
        <item x="33"/>
        <item x="36"/>
        <item x="34"/>
        <item x="9"/>
        <item x="2"/>
        <item x="3"/>
        <item x="37"/>
        <item x="38"/>
        <item x="21"/>
        <item x="24"/>
        <item x="11"/>
        <item x="7"/>
        <item x="39"/>
        <item x="17"/>
        <item x="0"/>
        <item t="default"/>
      </items>
    </pivotField>
    <pivotField showAll="0">
      <items count="4">
        <item h="1" x="2"/>
        <item x="0"/>
        <item h="1" x="1"/>
        <item t="default"/>
      </items>
    </pivotField>
    <pivotField showAll="0"/>
    <pivotField showAll="0"/>
    <pivotField showAll="0"/>
    <pivotField showAll="0"/>
    <pivotField showAll="0"/>
    <pivotField dataField="1" showAll="0"/>
  </pivotFields>
  <rowFields count="1">
    <field x="3"/>
  </rowFields>
  <rowItems count="8">
    <i>
      <x/>
    </i>
    <i>
      <x v="1"/>
    </i>
    <i>
      <x v="2"/>
    </i>
    <i>
      <x v="3"/>
    </i>
    <i>
      <x v="4"/>
    </i>
    <i>
      <x v="5"/>
    </i>
    <i>
      <x v="6"/>
    </i>
    <i t="grand">
      <x/>
    </i>
  </rowItems>
  <colItems count="1">
    <i/>
  </colItems>
  <dataFields count="1">
    <dataField name="Sum of Total Sales"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10:F12" firstHeaderRow="1" firstDataRow="1" firstDataCol="1"/>
  <pivotFields count="13">
    <pivotField showAll="0"/>
    <pivotField numFmtId="14" showAll="0"/>
    <pivotField showAll="0"/>
    <pivotField showAll="0"/>
    <pivotField showAll="0"/>
    <pivotField showAll="0">
      <items count="51">
        <item x="10"/>
        <item x="13"/>
        <item x="47"/>
        <item x="19"/>
        <item x="25"/>
        <item x="22"/>
        <item x="27"/>
        <item x="31"/>
        <item x="4"/>
        <item x="20"/>
        <item x="26"/>
        <item x="14"/>
        <item x="45"/>
        <item x="8"/>
        <item x="41"/>
        <item x="23"/>
        <item x="18"/>
        <item x="1"/>
        <item x="12"/>
        <item x="44"/>
        <item x="32"/>
        <item x="46"/>
        <item x="48"/>
        <item x="6"/>
        <item x="49"/>
        <item x="28"/>
        <item x="16"/>
        <item x="43"/>
        <item x="40"/>
        <item x="5"/>
        <item x="35"/>
        <item x="29"/>
        <item x="30"/>
        <item x="15"/>
        <item x="42"/>
        <item x="33"/>
        <item x="36"/>
        <item x="34"/>
        <item x="9"/>
        <item x="2"/>
        <item x="3"/>
        <item x="37"/>
        <item x="38"/>
        <item x="21"/>
        <item x="24"/>
        <item x="11"/>
        <item x="7"/>
        <item x="39"/>
        <item x="17"/>
        <item x="0"/>
        <item t="default"/>
      </items>
    </pivotField>
    <pivotField axis="axisRow" dataField="1" showAll="0">
      <items count="4">
        <item h="1" x="2"/>
        <item x="0"/>
        <item h="1" x="1"/>
        <item t="default"/>
      </items>
    </pivotField>
    <pivotField showAll="0"/>
    <pivotField showAll="0"/>
    <pivotField showAll="0"/>
    <pivotField showAll="0"/>
    <pivotField showAll="0"/>
    <pivotField showAll="0"/>
  </pivotFields>
  <rowFields count="1">
    <field x="6"/>
  </rowFields>
  <rowItems count="2">
    <i>
      <x v="1"/>
    </i>
    <i t="grand">
      <x/>
    </i>
  </rowItems>
  <colItems count="1">
    <i/>
  </colItems>
  <dataFields count="1">
    <dataField name="Count of Order Statu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Status" sourceName="Order Status">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
      <items count="3">
        <i x="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Name" sourceName="Product Name">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
      <items count="50">
        <i x="10" s="1"/>
        <i x="13" s="1"/>
        <i x="47" s="1"/>
        <i x="19" s="1"/>
        <i x="25" s="1"/>
        <i x="22" s="1"/>
        <i x="27" s="1"/>
        <i x="31" s="1"/>
        <i x="20" s="1"/>
        <i x="26" s="1"/>
        <i x="14" s="1"/>
        <i x="45" s="1"/>
        <i x="8" s="1"/>
        <i x="41" s="1"/>
        <i x="23" s="1"/>
        <i x="18" s="1"/>
        <i x="1" s="1"/>
        <i x="12" s="1"/>
        <i x="44" s="1"/>
        <i x="32" s="1"/>
        <i x="46" s="1"/>
        <i x="48" s="1"/>
        <i x="6" s="1"/>
        <i x="49" s="1"/>
        <i x="28" s="1"/>
        <i x="16" s="1"/>
        <i x="43" s="1"/>
        <i x="40" s="1"/>
        <i x="5" s="1"/>
        <i x="35" s="1"/>
        <i x="29" s="1"/>
        <i x="30" s="1"/>
        <i x="15" s="1"/>
        <i x="42" s="1"/>
        <i x="33" s="1"/>
        <i x="36" s="1"/>
        <i x="34" s="1"/>
        <i x="2" s="1"/>
        <i x="3" s="1"/>
        <i x="37" s="1"/>
        <i x="38" s="1"/>
        <i x="21" s="1"/>
        <i x="24" s="1"/>
        <i x="11" s="1"/>
        <i x="7" s="1"/>
        <i x="39" s="1"/>
        <i x="17" s="1"/>
        <i x="0" s="1"/>
        <i x="4" s="1" nd="1"/>
        <i x="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2" name="PivotTable1"/>
  </pivotTables>
  <data>
    <tabular pivotCacheId="1">
      <items count="7">
        <i x="1"/>
        <i x="2"/>
        <i x="0" s="1"/>
        <i x="5"/>
        <i x="3"/>
        <i x="4"/>
        <i x="6"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s>
  <data>
    <tabular pivotCacheId="1">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Status" cache="Slicer_Order_Status" caption="Order Status" rowHeight="241300"/>
  <slicer name="Product Name" cache="Slicer_Product_Name" caption="Product Name" startItem="3" rowHeight="241300"/>
  <slicer name="City" cache="Slicer_City" caption="City" rowHeight="241300"/>
  <slicer name="Category"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workbookViewId="0">
      <selection activeCell="D20" sqref="D20"/>
    </sheetView>
  </sheetViews>
  <sheetFormatPr defaultRowHeight="14.5" x14ac:dyDescent="0.35"/>
  <cols>
    <col min="2" max="2" width="10.1796875" bestFit="1" customWidth="1"/>
    <col min="3" max="3" width="14.453125" bestFit="1" customWidth="1"/>
    <col min="4" max="4" width="10" bestFit="1" customWidth="1"/>
    <col min="5" max="5" width="15.453125" bestFit="1" customWidth="1"/>
    <col min="6" max="6" width="16.1796875" bestFit="1" customWidth="1"/>
    <col min="7" max="7" width="11.453125" bestFit="1" customWidth="1"/>
    <col min="10" max="10" width="13.7265625" bestFit="1" customWidth="1"/>
    <col min="11" max="11" width="10.08984375" bestFit="1" customWidth="1"/>
  </cols>
  <sheetData>
    <row r="1" spans="1:13" s="2" customFormat="1" x14ac:dyDescent="0.35">
      <c r="A1" s="2" t="s">
        <v>0</v>
      </c>
      <c r="B1" s="2" t="s">
        <v>1</v>
      </c>
      <c r="C1" s="2" t="s">
        <v>2</v>
      </c>
      <c r="D1" s="2" t="s">
        <v>3</v>
      </c>
      <c r="E1" s="2" t="s">
        <v>127</v>
      </c>
      <c r="F1" s="2" t="s">
        <v>4</v>
      </c>
      <c r="G1" s="2" t="s">
        <v>8</v>
      </c>
      <c r="H1" s="2" t="s">
        <v>5</v>
      </c>
      <c r="I1" s="2" t="s">
        <v>6</v>
      </c>
      <c r="J1" s="2" t="s">
        <v>7</v>
      </c>
      <c r="K1" s="2" t="s">
        <v>9</v>
      </c>
      <c r="L1" s="2" t="s">
        <v>10</v>
      </c>
      <c r="M1" s="2" t="s">
        <v>128</v>
      </c>
    </row>
    <row r="2" spans="1:13" x14ac:dyDescent="0.35">
      <c r="A2">
        <v>1001</v>
      </c>
      <c r="B2" s="1">
        <v>45294</v>
      </c>
      <c r="C2" t="s">
        <v>11</v>
      </c>
      <c r="D2" t="s">
        <v>12</v>
      </c>
      <c r="E2" t="s">
        <v>13</v>
      </c>
      <c r="F2" t="s">
        <v>14</v>
      </c>
      <c r="G2" t="s">
        <v>16</v>
      </c>
      <c r="H2">
        <v>799</v>
      </c>
      <c r="I2">
        <v>2</v>
      </c>
      <c r="J2" t="s">
        <v>15</v>
      </c>
      <c r="K2">
        <v>5</v>
      </c>
      <c r="L2">
        <v>350</v>
      </c>
      <c r="M2">
        <f>H2*I2</f>
        <v>1598</v>
      </c>
    </row>
    <row r="3" spans="1:13" x14ac:dyDescent="0.35">
      <c r="A3">
        <v>1002</v>
      </c>
      <c r="B3" s="1">
        <v>45296</v>
      </c>
      <c r="C3" t="s">
        <v>17</v>
      </c>
      <c r="D3" t="s">
        <v>18</v>
      </c>
      <c r="E3" t="s">
        <v>13</v>
      </c>
      <c r="F3" t="s">
        <v>19</v>
      </c>
      <c r="G3" t="s">
        <v>16</v>
      </c>
      <c r="H3">
        <v>1299</v>
      </c>
      <c r="I3">
        <v>1</v>
      </c>
      <c r="J3" t="s">
        <v>20</v>
      </c>
      <c r="K3">
        <v>0</v>
      </c>
      <c r="L3">
        <v>280</v>
      </c>
      <c r="M3">
        <f t="shared" ref="M3:M51" si="0">H3*I3</f>
        <v>1299</v>
      </c>
    </row>
    <row r="4" spans="1:13" x14ac:dyDescent="0.35">
      <c r="A4">
        <v>1003</v>
      </c>
      <c r="B4" s="1">
        <v>45297</v>
      </c>
      <c r="C4" t="s">
        <v>21</v>
      </c>
      <c r="D4" t="s">
        <v>22</v>
      </c>
      <c r="E4" t="s">
        <v>23</v>
      </c>
      <c r="F4" t="s">
        <v>24</v>
      </c>
      <c r="G4" t="s">
        <v>16</v>
      </c>
      <c r="H4">
        <v>2499</v>
      </c>
      <c r="I4">
        <v>1</v>
      </c>
      <c r="J4" t="s">
        <v>25</v>
      </c>
      <c r="K4">
        <v>10</v>
      </c>
      <c r="L4">
        <v>600</v>
      </c>
      <c r="M4">
        <f t="shared" si="0"/>
        <v>2499</v>
      </c>
    </row>
    <row r="5" spans="1:13" x14ac:dyDescent="0.35">
      <c r="A5">
        <v>1004</v>
      </c>
      <c r="B5" s="1">
        <v>45298</v>
      </c>
      <c r="C5" t="s">
        <v>26</v>
      </c>
      <c r="D5" t="s">
        <v>27</v>
      </c>
      <c r="E5" t="s">
        <v>28</v>
      </c>
      <c r="F5" t="s">
        <v>29</v>
      </c>
      <c r="G5" t="s">
        <v>16</v>
      </c>
      <c r="H5">
        <v>999</v>
      </c>
      <c r="I5">
        <v>3</v>
      </c>
      <c r="J5" t="s">
        <v>15</v>
      </c>
      <c r="K5">
        <v>0</v>
      </c>
      <c r="L5">
        <v>720</v>
      </c>
      <c r="M5">
        <f t="shared" si="0"/>
        <v>2997</v>
      </c>
    </row>
    <row r="6" spans="1:13" x14ac:dyDescent="0.35">
      <c r="A6">
        <v>1005</v>
      </c>
      <c r="B6" s="1">
        <v>45299</v>
      </c>
      <c r="C6" t="s">
        <v>30</v>
      </c>
      <c r="D6" t="s">
        <v>31</v>
      </c>
      <c r="E6" t="s">
        <v>13</v>
      </c>
      <c r="F6" t="s">
        <v>32</v>
      </c>
      <c r="G6" t="s">
        <v>33</v>
      </c>
      <c r="H6">
        <v>1499</v>
      </c>
      <c r="I6">
        <v>1</v>
      </c>
      <c r="J6" t="s">
        <v>15</v>
      </c>
      <c r="K6">
        <v>0</v>
      </c>
      <c r="L6">
        <v>-149</v>
      </c>
      <c r="M6">
        <f t="shared" si="0"/>
        <v>1499</v>
      </c>
    </row>
    <row r="7" spans="1:13" x14ac:dyDescent="0.35">
      <c r="A7">
        <v>1006</v>
      </c>
      <c r="B7" s="1">
        <v>45300</v>
      </c>
      <c r="C7" t="s">
        <v>34</v>
      </c>
      <c r="D7" t="s">
        <v>35</v>
      </c>
      <c r="E7" t="s">
        <v>13</v>
      </c>
      <c r="F7" t="s">
        <v>36</v>
      </c>
      <c r="G7" t="s">
        <v>16</v>
      </c>
      <c r="H7">
        <v>1099</v>
      </c>
      <c r="I7">
        <v>2</v>
      </c>
      <c r="J7" t="s">
        <v>25</v>
      </c>
      <c r="K7">
        <v>5</v>
      </c>
      <c r="L7">
        <v>460</v>
      </c>
      <c r="M7">
        <f t="shared" si="0"/>
        <v>2198</v>
      </c>
    </row>
    <row r="8" spans="1:13" x14ac:dyDescent="0.35">
      <c r="A8">
        <v>1007</v>
      </c>
      <c r="B8" s="1">
        <v>45300</v>
      </c>
      <c r="C8" t="s">
        <v>37</v>
      </c>
      <c r="D8" t="s">
        <v>38</v>
      </c>
      <c r="E8" t="s">
        <v>23</v>
      </c>
      <c r="F8" t="s">
        <v>39</v>
      </c>
      <c r="G8" t="s">
        <v>16</v>
      </c>
      <c r="H8">
        <v>599</v>
      </c>
      <c r="I8">
        <v>3</v>
      </c>
      <c r="J8" t="s">
        <v>20</v>
      </c>
      <c r="K8">
        <v>0</v>
      </c>
      <c r="L8">
        <v>300</v>
      </c>
      <c r="M8">
        <f t="shared" si="0"/>
        <v>1797</v>
      </c>
    </row>
    <row r="9" spans="1:13" x14ac:dyDescent="0.35">
      <c r="A9">
        <v>1008</v>
      </c>
      <c r="B9" s="1">
        <v>45301</v>
      </c>
      <c r="C9" t="s">
        <v>40</v>
      </c>
      <c r="D9" t="s">
        <v>12</v>
      </c>
      <c r="E9" t="s">
        <v>28</v>
      </c>
      <c r="F9" t="s">
        <v>41</v>
      </c>
      <c r="G9" t="s">
        <v>16</v>
      </c>
      <c r="H9">
        <v>1299</v>
      </c>
      <c r="I9">
        <v>1</v>
      </c>
      <c r="J9" t="s">
        <v>15</v>
      </c>
      <c r="K9">
        <v>5</v>
      </c>
      <c r="L9">
        <v>250</v>
      </c>
      <c r="M9">
        <f t="shared" si="0"/>
        <v>1299</v>
      </c>
    </row>
    <row r="10" spans="1:13" x14ac:dyDescent="0.35">
      <c r="A10">
        <v>1009</v>
      </c>
      <c r="B10" s="1">
        <v>45302</v>
      </c>
      <c r="C10" t="s">
        <v>42</v>
      </c>
      <c r="D10" t="s">
        <v>18</v>
      </c>
      <c r="E10" t="s">
        <v>23</v>
      </c>
      <c r="F10" t="s">
        <v>43</v>
      </c>
      <c r="G10" t="s">
        <v>16</v>
      </c>
      <c r="H10">
        <v>1999</v>
      </c>
      <c r="I10">
        <v>1</v>
      </c>
      <c r="J10" t="s">
        <v>25</v>
      </c>
      <c r="K10">
        <v>8</v>
      </c>
      <c r="L10">
        <v>450</v>
      </c>
      <c r="M10">
        <f t="shared" si="0"/>
        <v>1999</v>
      </c>
    </row>
    <row r="11" spans="1:13" x14ac:dyDescent="0.35">
      <c r="A11">
        <v>1010</v>
      </c>
      <c r="B11" s="1">
        <v>45303</v>
      </c>
      <c r="C11" t="s">
        <v>44</v>
      </c>
      <c r="D11" t="s">
        <v>27</v>
      </c>
      <c r="E11" t="s">
        <v>13</v>
      </c>
      <c r="F11" t="s">
        <v>45</v>
      </c>
      <c r="G11" t="s">
        <v>46</v>
      </c>
      <c r="H11">
        <v>2999</v>
      </c>
      <c r="I11">
        <v>1</v>
      </c>
      <c r="J11" t="s">
        <v>15</v>
      </c>
      <c r="K11">
        <v>0</v>
      </c>
      <c r="L11">
        <v>0</v>
      </c>
      <c r="M11">
        <f t="shared" si="0"/>
        <v>2999</v>
      </c>
    </row>
    <row r="12" spans="1:13" x14ac:dyDescent="0.35">
      <c r="A12">
        <v>1011</v>
      </c>
      <c r="B12" s="1">
        <v>45304</v>
      </c>
      <c r="C12" t="s">
        <v>47</v>
      </c>
      <c r="D12" t="s">
        <v>31</v>
      </c>
      <c r="E12" t="s">
        <v>28</v>
      </c>
      <c r="F12" t="s">
        <v>48</v>
      </c>
      <c r="G12" t="s">
        <v>16</v>
      </c>
      <c r="H12">
        <v>899</v>
      </c>
      <c r="I12">
        <v>2</v>
      </c>
      <c r="J12" t="s">
        <v>20</v>
      </c>
      <c r="K12">
        <v>0</v>
      </c>
      <c r="L12">
        <v>380</v>
      </c>
      <c r="M12">
        <f t="shared" si="0"/>
        <v>1798</v>
      </c>
    </row>
    <row r="13" spans="1:13" x14ac:dyDescent="0.35">
      <c r="A13">
        <v>1012</v>
      </c>
      <c r="B13" s="1">
        <v>45305</v>
      </c>
      <c r="C13" t="s">
        <v>49</v>
      </c>
      <c r="D13" t="s">
        <v>22</v>
      </c>
      <c r="E13" t="s">
        <v>13</v>
      </c>
      <c r="F13" t="s">
        <v>50</v>
      </c>
      <c r="G13" t="s">
        <v>16</v>
      </c>
      <c r="H13">
        <v>299</v>
      </c>
      <c r="I13">
        <v>4</v>
      </c>
      <c r="J13" t="s">
        <v>15</v>
      </c>
      <c r="K13">
        <v>0</v>
      </c>
      <c r="L13">
        <v>200</v>
      </c>
      <c r="M13">
        <f t="shared" si="0"/>
        <v>1196</v>
      </c>
    </row>
    <row r="14" spans="1:13" x14ac:dyDescent="0.35">
      <c r="A14">
        <v>1013</v>
      </c>
      <c r="B14" s="1">
        <v>45305</v>
      </c>
      <c r="C14" t="s">
        <v>51</v>
      </c>
      <c r="D14" t="s">
        <v>38</v>
      </c>
      <c r="E14" t="s">
        <v>23</v>
      </c>
      <c r="F14" t="s">
        <v>52</v>
      </c>
      <c r="G14" t="s">
        <v>16</v>
      </c>
      <c r="H14">
        <v>799</v>
      </c>
      <c r="I14">
        <v>1</v>
      </c>
      <c r="J14" t="s">
        <v>25</v>
      </c>
      <c r="K14">
        <v>5</v>
      </c>
      <c r="L14">
        <v>150</v>
      </c>
      <c r="M14">
        <f t="shared" si="0"/>
        <v>799</v>
      </c>
    </row>
    <row r="15" spans="1:13" x14ac:dyDescent="0.35">
      <c r="A15">
        <v>1014</v>
      </c>
      <c r="B15" s="1">
        <v>45306</v>
      </c>
      <c r="C15" t="s">
        <v>53</v>
      </c>
      <c r="D15" t="s">
        <v>35</v>
      </c>
      <c r="E15" t="s">
        <v>13</v>
      </c>
      <c r="F15" t="s">
        <v>54</v>
      </c>
      <c r="G15" t="s">
        <v>16</v>
      </c>
      <c r="H15">
        <v>2499</v>
      </c>
      <c r="I15">
        <v>1</v>
      </c>
      <c r="J15" t="s">
        <v>20</v>
      </c>
      <c r="K15">
        <v>10</v>
      </c>
      <c r="L15">
        <v>550</v>
      </c>
      <c r="M15">
        <f t="shared" si="0"/>
        <v>2499</v>
      </c>
    </row>
    <row r="16" spans="1:13" x14ac:dyDescent="0.35">
      <c r="A16">
        <v>1015</v>
      </c>
      <c r="B16" s="1">
        <v>45307</v>
      </c>
      <c r="C16" t="s">
        <v>55</v>
      </c>
      <c r="D16" t="s">
        <v>18</v>
      </c>
      <c r="E16" t="s">
        <v>28</v>
      </c>
      <c r="F16" t="s">
        <v>56</v>
      </c>
      <c r="G16" t="s">
        <v>16</v>
      </c>
      <c r="H16">
        <v>599</v>
      </c>
      <c r="I16">
        <v>2</v>
      </c>
      <c r="J16" t="s">
        <v>15</v>
      </c>
      <c r="K16">
        <v>5</v>
      </c>
      <c r="L16">
        <v>240</v>
      </c>
      <c r="M16">
        <f t="shared" si="0"/>
        <v>1198</v>
      </c>
    </row>
    <row r="17" spans="1:13" x14ac:dyDescent="0.35">
      <c r="A17">
        <v>1016</v>
      </c>
      <c r="B17" s="1">
        <v>45308</v>
      </c>
      <c r="C17" t="s">
        <v>57</v>
      </c>
      <c r="D17" t="s">
        <v>12</v>
      </c>
      <c r="E17" t="s">
        <v>23</v>
      </c>
      <c r="F17" t="s">
        <v>58</v>
      </c>
      <c r="G17" t="s">
        <v>16</v>
      </c>
      <c r="H17">
        <v>1499</v>
      </c>
      <c r="I17">
        <v>1</v>
      </c>
      <c r="J17" t="s">
        <v>20</v>
      </c>
      <c r="K17">
        <v>0</v>
      </c>
      <c r="L17">
        <v>350</v>
      </c>
      <c r="M17">
        <f t="shared" si="0"/>
        <v>1499</v>
      </c>
    </row>
    <row r="18" spans="1:13" x14ac:dyDescent="0.35">
      <c r="A18">
        <v>1017</v>
      </c>
      <c r="B18" s="1">
        <v>45308</v>
      </c>
      <c r="C18" t="s">
        <v>59</v>
      </c>
      <c r="D18" t="s">
        <v>31</v>
      </c>
      <c r="E18" t="s">
        <v>13</v>
      </c>
      <c r="F18" t="s">
        <v>60</v>
      </c>
      <c r="G18" t="s">
        <v>16</v>
      </c>
      <c r="H18">
        <v>299</v>
      </c>
      <c r="I18">
        <v>3</v>
      </c>
      <c r="J18" t="s">
        <v>25</v>
      </c>
      <c r="K18">
        <v>0</v>
      </c>
      <c r="L18">
        <v>140</v>
      </c>
      <c r="M18">
        <f t="shared" si="0"/>
        <v>897</v>
      </c>
    </row>
    <row r="19" spans="1:13" x14ac:dyDescent="0.35">
      <c r="A19">
        <v>1018</v>
      </c>
      <c r="B19" s="1">
        <v>45309</v>
      </c>
      <c r="C19" t="s">
        <v>61</v>
      </c>
      <c r="D19" t="s">
        <v>22</v>
      </c>
      <c r="E19" t="s">
        <v>13</v>
      </c>
      <c r="F19" t="s">
        <v>62</v>
      </c>
      <c r="G19" t="s">
        <v>16</v>
      </c>
      <c r="H19">
        <v>1899</v>
      </c>
      <c r="I19">
        <v>1</v>
      </c>
      <c r="J19" t="s">
        <v>15</v>
      </c>
      <c r="K19">
        <v>5</v>
      </c>
      <c r="L19">
        <v>400</v>
      </c>
      <c r="M19">
        <f t="shared" si="0"/>
        <v>1899</v>
      </c>
    </row>
    <row r="20" spans="1:13" x14ac:dyDescent="0.35">
      <c r="A20">
        <v>1019</v>
      </c>
      <c r="B20" s="1">
        <v>45310</v>
      </c>
      <c r="C20" t="s">
        <v>63</v>
      </c>
      <c r="D20" t="s">
        <v>27</v>
      </c>
      <c r="E20" t="s">
        <v>23</v>
      </c>
      <c r="F20" t="s">
        <v>64</v>
      </c>
      <c r="G20" t="s">
        <v>16</v>
      </c>
      <c r="H20">
        <v>1299</v>
      </c>
      <c r="I20">
        <v>1</v>
      </c>
      <c r="J20" t="s">
        <v>20</v>
      </c>
      <c r="K20">
        <v>0</v>
      </c>
      <c r="L20">
        <v>250</v>
      </c>
      <c r="M20">
        <f t="shared" si="0"/>
        <v>1299</v>
      </c>
    </row>
    <row r="21" spans="1:13" x14ac:dyDescent="0.35">
      <c r="A21">
        <v>1020</v>
      </c>
      <c r="B21" s="1">
        <v>45311</v>
      </c>
      <c r="C21" t="s">
        <v>65</v>
      </c>
      <c r="D21" t="s">
        <v>38</v>
      </c>
      <c r="E21" t="s">
        <v>28</v>
      </c>
      <c r="F21" t="s">
        <v>66</v>
      </c>
      <c r="G21" t="s">
        <v>16</v>
      </c>
      <c r="H21">
        <v>499</v>
      </c>
      <c r="I21">
        <v>4</v>
      </c>
      <c r="J21" t="s">
        <v>15</v>
      </c>
      <c r="K21">
        <v>0</v>
      </c>
      <c r="L21">
        <v>300</v>
      </c>
      <c r="M21">
        <f t="shared" si="0"/>
        <v>1996</v>
      </c>
    </row>
    <row r="22" spans="1:13" x14ac:dyDescent="0.35">
      <c r="A22">
        <v>1021</v>
      </c>
      <c r="B22" s="1">
        <v>45312</v>
      </c>
      <c r="C22" t="s">
        <v>67</v>
      </c>
      <c r="D22" t="s">
        <v>35</v>
      </c>
      <c r="E22" t="s">
        <v>13</v>
      </c>
      <c r="F22" t="s">
        <v>68</v>
      </c>
      <c r="G22" t="s">
        <v>16</v>
      </c>
      <c r="H22">
        <v>699</v>
      </c>
      <c r="I22">
        <v>2</v>
      </c>
      <c r="J22" t="s">
        <v>25</v>
      </c>
      <c r="K22">
        <v>5</v>
      </c>
      <c r="L22">
        <v>260</v>
      </c>
      <c r="M22">
        <f t="shared" si="0"/>
        <v>1398</v>
      </c>
    </row>
    <row r="23" spans="1:13" x14ac:dyDescent="0.35">
      <c r="A23">
        <v>1022</v>
      </c>
      <c r="B23" s="1">
        <v>45313</v>
      </c>
      <c r="C23" t="s">
        <v>69</v>
      </c>
      <c r="D23" t="s">
        <v>22</v>
      </c>
      <c r="E23" t="s">
        <v>23</v>
      </c>
      <c r="F23" t="s">
        <v>70</v>
      </c>
      <c r="G23" t="s">
        <v>16</v>
      </c>
      <c r="H23">
        <v>499</v>
      </c>
      <c r="I23">
        <v>3</v>
      </c>
      <c r="J23" t="s">
        <v>15</v>
      </c>
      <c r="K23">
        <v>0</v>
      </c>
      <c r="L23">
        <v>280</v>
      </c>
      <c r="M23">
        <f t="shared" si="0"/>
        <v>1497</v>
      </c>
    </row>
    <row r="24" spans="1:13" x14ac:dyDescent="0.35">
      <c r="A24">
        <v>1023</v>
      </c>
      <c r="B24" s="1">
        <v>45314</v>
      </c>
      <c r="C24" t="s">
        <v>71</v>
      </c>
      <c r="D24" t="s">
        <v>12</v>
      </c>
      <c r="E24" t="s">
        <v>28</v>
      </c>
      <c r="F24" t="s">
        <v>72</v>
      </c>
      <c r="G24" t="s">
        <v>16</v>
      </c>
      <c r="H24">
        <v>999</v>
      </c>
      <c r="I24">
        <v>2</v>
      </c>
      <c r="J24" t="s">
        <v>20</v>
      </c>
      <c r="K24">
        <v>5</v>
      </c>
      <c r="L24">
        <v>350</v>
      </c>
      <c r="M24">
        <f t="shared" si="0"/>
        <v>1998</v>
      </c>
    </row>
    <row r="25" spans="1:13" x14ac:dyDescent="0.35">
      <c r="A25">
        <v>1024</v>
      </c>
      <c r="B25" s="1">
        <v>45315</v>
      </c>
      <c r="C25" t="s">
        <v>73</v>
      </c>
      <c r="D25" t="s">
        <v>18</v>
      </c>
      <c r="E25" t="s">
        <v>23</v>
      </c>
      <c r="F25" t="s">
        <v>74</v>
      </c>
      <c r="G25" t="s">
        <v>16</v>
      </c>
      <c r="H25">
        <v>2899</v>
      </c>
      <c r="I25">
        <v>1</v>
      </c>
      <c r="J25" t="s">
        <v>15</v>
      </c>
      <c r="K25">
        <v>10</v>
      </c>
      <c r="L25">
        <v>600</v>
      </c>
      <c r="M25">
        <f t="shared" si="0"/>
        <v>2899</v>
      </c>
    </row>
    <row r="26" spans="1:13" x14ac:dyDescent="0.35">
      <c r="A26">
        <v>1025</v>
      </c>
      <c r="B26" s="1">
        <v>45316</v>
      </c>
      <c r="C26" t="s">
        <v>75</v>
      </c>
      <c r="D26" t="s">
        <v>27</v>
      </c>
      <c r="E26" t="s">
        <v>13</v>
      </c>
      <c r="F26" t="s">
        <v>76</v>
      </c>
      <c r="G26" t="s">
        <v>16</v>
      </c>
      <c r="H26">
        <v>1599</v>
      </c>
      <c r="I26">
        <v>1</v>
      </c>
      <c r="J26" t="s">
        <v>20</v>
      </c>
      <c r="K26">
        <v>0</v>
      </c>
      <c r="L26">
        <v>300</v>
      </c>
      <c r="M26">
        <f t="shared" si="0"/>
        <v>1599</v>
      </c>
    </row>
    <row r="27" spans="1:13" x14ac:dyDescent="0.35">
      <c r="A27">
        <v>1026</v>
      </c>
      <c r="B27" s="1">
        <v>45317</v>
      </c>
      <c r="C27" t="s">
        <v>77</v>
      </c>
      <c r="D27" t="s">
        <v>31</v>
      </c>
      <c r="E27" t="s">
        <v>13</v>
      </c>
      <c r="F27" t="s">
        <v>78</v>
      </c>
      <c r="G27" t="s">
        <v>16</v>
      </c>
      <c r="H27">
        <v>499</v>
      </c>
      <c r="I27">
        <v>3</v>
      </c>
      <c r="J27" t="s">
        <v>25</v>
      </c>
      <c r="K27">
        <v>0</v>
      </c>
      <c r="L27">
        <v>210</v>
      </c>
      <c r="M27">
        <f t="shared" si="0"/>
        <v>1497</v>
      </c>
    </row>
    <row r="28" spans="1:13" x14ac:dyDescent="0.35">
      <c r="A28">
        <v>1027</v>
      </c>
      <c r="B28" s="1">
        <v>45318</v>
      </c>
      <c r="C28" t="s">
        <v>79</v>
      </c>
      <c r="D28" t="s">
        <v>38</v>
      </c>
      <c r="E28" t="s">
        <v>23</v>
      </c>
      <c r="F28" t="s">
        <v>80</v>
      </c>
      <c r="G28" t="s">
        <v>16</v>
      </c>
      <c r="H28">
        <v>299</v>
      </c>
      <c r="I28">
        <v>2</v>
      </c>
      <c r="J28" t="s">
        <v>25</v>
      </c>
      <c r="K28">
        <v>0</v>
      </c>
      <c r="L28">
        <v>100</v>
      </c>
      <c r="M28">
        <f t="shared" si="0"/>
        <v>598</v>
      </c>
    </row>
    <row r="29" spans="1:13" x14ac:dyDescent="0.35">
      <c r="A29">
        <v>1028</v>
      </c>
      <c r="B29" s="1">
        <v>45319</v>
      </c>
      <c r="C29" t="s">
        <v>81</v>
      </c>
      <c r="D29" t="s">
        <v>12</v>
      </c>
      <c r="E29" t="s">
        <v>28</v>
      </c>
      <c r="F29" t="s">
        <v>82</v>
      </c>
      <c r="G29" t="s">
        <v>16</v>
      </c>
      <c r="H29">
        <v>399</v>
      </c>
      <c r="I29">
        <v>4</v>
      </c>
      <c r="J29" t="s">
        <v>20</v>
      </c>
      <c r="K29">
        <v>5</v>
      </c>
      <c r="L29">
        <v>260</v>
      </c>
      <c r="M29">
        <f t="shared" si="0"/>
        <v>1596</v>
      </c>
    </row>
    <row r="30" spans="1:13" x14ac:dyDescent="0.35">
      <c r="A30">
        <v>1029</v>
      </c>
      <c r="B30" s="1">
        <v>45319</v>
      </c>
      <c r="C30" t="s">
        <v>83</v>
      </c>
      <c r="D30" t="s">
        <v>22</v>
      </c>
      <c r="E30" t="s">
        <v>13</v>
      </c>
      <c r="F30" t="s">
        <v>84</v>
      </c>
      <c r="G30" t="s">
        <v>16</v>
      </c>
      <c r="H30">
        <v>7999</v>
      </c>
      <c r="I30">
        <v>1</v>
      </c>
      <c r="J30" t="s">
        <v>25</v>
      </c>
      <c r="K30">
        <v>5</v>
      </c>
      <c r="L30">
        <v>1500</v>
      </c>
      <c r="M30">
        <f t="shared" si="0"/>
        <v>7999</v>
      </c>
    </row>
    <row r="31" spans="1:13" x14ac:dyDescent="0.35">
      <c r="A31">
        <v>1030</v>
      </c>
      <c r="B31" s="1">
        <v>45320</v>
      </c>
      <c r="C31" t="s">
        <v>85</v>
      </c>
      <c r="D31" t="s">
        <v>18</v>
      </c>
      <c r="E31" t="s">
        <v>13</v>
      </c>
      <c r="F31" t="s">
        <v>86</v>
      </c>
      <c r="G31" t="s">
        <v>16</v>
      </c>
      <c r="H31">
        <v>1999</v>
      </c>
      <c r="I31">
        <v>1</v>
      </c>
      <c r="J31" t="s">
        <v>15</v>
      </c>
      <c r="K31">
        <v>8</v>
      </c>
      <c r="L31">
        <v>400</v>
      </c>
      <c r="M31">
        <f t="shared" si="0"/>
        <v>1999</v>
      </c>
    </row>
    <row r="32" spans="1:13" x14ac:dyDescent="0.35">
      <c r="A32">
        <v>1031</v>
      </c>
      <c r="B32" s="1">
        <v>45321</v>
      </c>
      <c r="C32" t="s">
        <v>87</v>
      </c>
      <c r="D32" t="s">
        <v>27</v>
      </c>
      <c r="E32" t="s">
        <v>23</v>
      </c>
      <c r="F32" t="s">
        <v>88</v>
      </c>
      <c r="G32" t="s">
        <v>16</v>
      </c>
      <c r="H32">
        <v>999</v>
      </c>
      <c r="I32">
        <v>1</v>
      </c>
      <c r="J32" t="s">
        <v>20</v>
      </c>
      <c r="K32">
        <v>0</v>
      </c>
      <c r="L32">
        <v>180</v>
      </c>
      <c r="M32">
        <f t="shared" si="0"/>
        <v>999</v>
      </c>
    </row>
    <row r="33" spans="1:13" x14ac:dyDescent="0.35">
      <c r="A33">
        <v>1032</v>
      </c>
      <c r="B33" s="1">
        <v>45322</v>
      </c>
      <c r="C33" t="s">
        <v>89</v>
      </c>
      <c r="D33" t="s">
        <v>31</v>
      </c>
      <c r="E33" t="s">
        <v>28</v>
      </c>
      <c r="F33" t="s">
        <v>90</v>
      </c>
      <c r="G33" t="s">
        <v>16</v>
      </c>
      <c r="H33">
        <v>299</v>
      </c>
      <c r="I33">
        <v>3</v>
      </c>
      <c r="J33" t="s">
        <v>15</v>
      </c>
      <c r="K33">
        <v>0</v>
      </c>
      <c r="L33">
        <v>120</v>
      </c>
      <c r="M33">
        <f t="shared" si="0"/>
        <v>897</v>
      </c>
    </row>
    <row r="34" spans="1:13" x14ac:dyDescent="0.35">
      <c r="A34">
        <v>1033</v>
      </c>
      <c r="B34" s="1">
        <v>45323</v>
      </c>
      <c r="C34" t="s">
        <v>91</v>
      </c>
      <c r="D34" t="s">
        <v>35</v>
      </c>
      <c r="E34" t="s">
        <v>13</v>
      </c>
      <c r="F34" t="s">
        <v>92</v>
      </c>
      <c r="G34" t="s">
        <v>16</v>
      </c>
      <c r="H34">
        <v>149</v>
      </c>
      <c r="I34">
        <v>6</v>
      </c>
      <c r="J34" t="s">
        <v>20</v>
      </c>
      <c r="K34">
        <v>0</v>
      </c>
      <c r="L34">
        <v>160</v>
      </c>
      <c r="M34">
        <f t="shared" si="0"/>
        <v>894</v>
      </c>
    </row>
    <row r="35" spans="1:13" x14ac:dyDescent="0.35">
      <c r="A35">
        <v>1034</v>
      </c>
      <c r="B35" s="1">
        <v>45324</v>
      </c>
      <c r="C35" t="s">
        <v>93</v>
      </c>
      <c r="D35" t="s">
        <v>22</v>
      </c>
      <c r="E35" t="s">
        <v>23</v>
      </c>
      <c r="F35" t="s">
        <v>94</v>
      </c>
      <c r="G35" t="s">
        <v>16</v>
      </c>
      <c r="H35">
        <v>899</v>
      </c>
      <c r="I35">
        <v>1</v>
      </c>
      <c r="J35" t="s">
        <v>25</v>
      </c>
      <c r="K35">
        <v>0</v>
      </c>
      <c r="L35">
        <v>180</v>
      </c>
      <c r="M35">
        <f t="shared" si="0"/>
        <v>899</v>
      </c>
    </row>
    <row r="36" spans="1:13" x14ac:dyDescent="0.35">
      <c r="A36">
        <v>1035</v>
      </c>
      <c r="B36" s="1">
        <v>45325</v>
      </c>
      <c r="C36" t="s">
        <v>95</v>
      </c>
      <c r="D36" t="s">
        <v>27</v>
      </c>
      <c r="E36" t="s">
        <v>28</v>
      </c>
      <c r="F36" t="s">
        <v>96</v>
      </c>
      <c r="G36" t="s">
        <v>16</v>
      </c>
      <c r="H36">
        <v>1299</v>
      </c>
      <c r="I36">
        <v>1</v>
      </c>
      <c r="J36" t="s">
        <v>15</v>
      </c>
      <c r="K36">
        <v>5</v>
      </c>
      <c r="L36">
        <v>250</v>
      </c>
      <c r="M36">
        <f t="shared" si="0"/>
        <v>1299</v>
      </c>
    </row>
    <row r="37" spans="1:13" x14ac:dyDescent="0.35">
      <c r="A37">
        <v>1036</v>
      </c>
      <c r="B37" s="1">
        <v>45326</v>
      </c>
      <c r="C37" t="s">
        <v>97</v>
      </c>
      <c r="D37" t="s">
        <v>18</v>
      </c>
      <c r="E37" t="s">
        <v>13</v>
      </c>
      <c r="F37" t="s">
        <v>98</v>
      </c>
      <c r="G37" t="s">
        <v>16</v>
      </c>
      <c r="H37">
        <v>5999</v>
      </c>
      <c r="I37">
        <v>1</v>
      </c>
      <c r="J37" t="s">
        <v>25</v>
      </c>
      <c r="K37">
        <v>10</v>
      </c>
      <c r="L37">
        <v>1200</v>
      </c>
      <c r="M37">
        <f t="shared" si="0"/>
        <v>5999</v>
      </c>
    </row>
    <row r="38" spans="1:13" x14ac:dyDescent="0.35">
      <c r="A38">
        <v>1037</v>
      </c>
      <c r="B38" s="1">
        <v>45327</v>
      </c>
      <c r="C38" t="s">
        <v>99</v>
      </c>
      <c r="D38" t="s">
        <v>31</v>
      </c>
      <c r="E38" t="s">
        <v>23</v>
      </c>
      <c r="F38" t="s">
        <v>100</v>
      </c>
      <c r="G38" t="s">
        <v>16</v>
      </c>
      <c r="H38">
        <v>699</v>
      </c>
      <c r="I38">
        <v>2</v>
      </c>
      <c r="J38" t="s">
        <v>20</v>
      </c>
      <c r="K38">
        <v>0</v>
      </c>
      <c r="L38">
        <v>220</v>
      </c>
      <c r="M38">
        <f t="shared" si="0"/>
        <v>1398</v>
      </c>
    </row>
    <row r="39" spans="1:13" x14ac:dyDescent="0.35">
      <c r="A39">
        <v>1038</v>
      </c>
      <c r="B39" s="1">
        <v>45327</v>
      </c>
      <c r="C39" t="s">
        <v>101</v>
      </c>
      <c r="D39" t="s">
        <v>38</v>
      </c>
      <c r="E39" t="s">
        <v>28</v>
      </c>
      <c r="F39" t="s">
        <v>102</v>
      </c>
      <c r="G39" t="s">
        <v>16</v>
      </c>
      <c r="H39">
        <v>249</v>
      </c>
      <c r="I39">
        <v>3</v>
      </c>
      <c r="J39" t="s">
        <v>15</v>
      </c>
      <c r="K39">
        <v>0</v>
      </c>
      <c r="L39">
        <v>110</v>
      </c>
      <c r="M39">
        <f t="shared" si="0"/>
        <v>747</v>
      </c>
    </row>
    <row r="40" spans="1:13" x14ac:dyDescent="0.35">
      <c r="A40">
        <v>1039</v>
      </c>
      <c r="B40" s="1">
        <v>45328</v>
      </c>
      <c r="C40" t="s">
        <v>103</v>
      </c>
      <c r="D40" t="s">
        <v>12</v>
      </c>
      <c r="E40" t="s">
        <v>13</v>
      </c>
      <c r="F40" t="s">
        <v>104</v>
      </c>
      <c r="G40" t="s">
        <v>16</v>
      </c>
      <c r="H40">
        <v>14999</v>
      </c>
      <c r="I40">
        <v>1</v>
      </c>
      <c r="J40" t="s">
        <v>25</v>
      </c>
      <c r="K40">
        <v>5</v>
      </c>
      <c r="L40">
        <v>2800</v>
      </c>
      <c r="M40">
        <f t="shared" si="0"/>
        <v>14999</v>
      </c>
    </row>
    <row r="41" spans="1:13" x14ac:dyDescent="0.35">
      <c r="A41">
        <v>1040</v>
      </c>
      <c r="B41" s="1">
        <v>45329</v>
      </c>
      <c r="C41" t="s">
        <v>105</v>
      </c>
      <c r="D41" t="s">
        <v>22</v>
      </c>
      <c r="E41" t="s">
        <v>23</v>
      </c>
      <c r="F41" t="s">
        <v>106</v>
      </c>
      <c r="G41" t="s">
        <v>16</v>
      </c>
      <c r="H41">
        <v>1999</v>
      </c>
      <c r="I41">
        <v>1</v>
      </c>
      <c r="J41" t="s">
        <v>20</v>
      </c>
      <c r="K41">
        <v>0</v>
      </c>
      <c r="L41">
        <v>400</v>
      </c>
      <c r="M41">
        <f t="shared" si="0"/>
        <v>1999</v>
      </c>
    </row>
    <row r="42" spans="1:13" x14ac:dyDescent="0.35">
      <c r="A42">
        <v>1041</v>
      </c>
      <c r="B42" s="1">
        <v>45330</v>
      </c>
      <c r="C42" t="s">
        <v>107</v>
      </c>
      <c r="D42" t="s">
        <v>27</v>
      </c>
      <c r="E42" t="s">
        <v>28</v>
      </c>
      <c r="F42" t="s">
        <v>108</v>
      </c>
      <c r="G42" t="s">
        <v>16</v>
      </c>
      <c r="H42">
        <v>699</v>
      </c>
      <c r="I42">
        <v>2</v>
      </c>
      <c r="J42" t="s">
        <v>15</v>
      </c>
      <c r="K42">
        <v>0</v>
      </c>
      <c r="L42">
        <v>250</v>
      </c>
      <c r="M42">
        <f t="shared" si="0"/>
        <v>1398</v>
      </c>
    </row>
    <row r="43" spans="1:13" x14ac:dyDescent="0.35">
      <c r="A43">
        <v>1042</v>
      </c>
      <c r="B43" s="1">
        <v>45331</v>
      </c>
      <c r="C43" t="s">
        <v>109</v>
      </c>
      <c r="D43" t="s">
        <v>31</v>
      </c>
      <c r="E43" t="s">
        <v>13</v>
      </c>
      <c r="F43" t="s">
        <v>110</v>
      </c>
      <c r="G43" t="s">
        <v>16</v>
      </c>
      <c r="H43">
        <v>1999</v>
      </c>
      <c r="I43">
        <v>1</v>
      </c>
      <c r="J43" t="s">
        <v>20</v>
      </c>
      <c r="K43">
        <v>0</v>
      </c>
      <c r="L43">
        <v>350</v>
      </c>
      <c r="M43">
        <f t="shared" si="0"/>
        <v>1999</v>
      </c>
    </row>
    <row r="44" spans="1:13" x14ac:dyDescent="0.35">
      <c r="A44">
        <v>1043</v>
      </c>
      <c r="B44" s="1">
        <v>45332</v>
      </c>
      <c r="C44" t="s">
        <v>111</v>
      </c>
      <c r="D44" t="s">
        <v>35</v>
      </c>
      <c r="E44" t="s">
        <v>23</v>
      </c>
      <c r="F44" t="s">
        <v>112</v>
      </c>
      <c r="G44" t="s">
        <v>16</v>
      </c>
      <c r="H44">
        <v>299</v>
      </c>
      <c r="I44">
        <v>2</v>
      </c>
      <c r="J44" t="s">
        <v>15</v>
      </c>
      <c r="K44">
        <v>0</v>
      </c>
      <c r="L44">
        <v>90</v>
      </c>
      <c r="M44">
        <f t="shared" si="0"/>
        <v>598</v>
      </c>
    </row>
    <row r="45" spans="1:13" x14ac:dyDescent="0.35">
      <c r="A45">
        <v>1044</v>
      </c>
      <c r="B45" s="1">
        <v>45333</v>
      </c>
      <c r="C45" t="s">
        <v>113</v>
      </c>
      <c r="D45" t="s">
        <v>18</v>
      </c>
      <c r="E45" t="s">
        <v>28</v>
      </c>
      <c r="F45" t="s">
        <v>114</v>
      </c>
      <c r="G45" t="s">
        <v>16</v>
      </c>
      <c r="H45">
        <v>499</v>
      </c>
      <c r="I45">
        <v>3</v>
      </c>
      <c r="J45" t="s">
        <v>25</v>
      </c>
      <c r="K45">
        <v>0</v>
      </c>
      <c r="L45">
        <v>200</v>
      </c>
      <c r="M45">
        <f t="shared" si="0"/>
        <v>1497</v>
      </c>
    </row>
    <row r="46" spans="1:13" x14ac:dyDescent="0.35">
      <c r="A46">
        <v>1045</v>
      </c>
      <c r="B46" s="1">
        <v>45334</v>
      </c>
      <c r="C46" t="s">
        <v>115</v>
      </c>
      <c r="D46" t="s">
        <v>12</v>
      </c>
      <c r="E46" t="s">
        <v>13</v>
      </c>
      <c r="F46" t="s">
        <v>116</v>
      </c>
      <c r="G46" t="s">
        <v>16</v>
      </c>
      <c r="H46">
        <v>1299</v>
      </c>
      <c r="I46">
        <v>1</v>
      </c>
      <c r="J46" t="s">
        <v>15</v>
      </c>
      <c r="K46">
        <v>5</v>
      </c>
      <c r="L46">
        <v>250</v>
      </c>
      <c r="M46">
        <f t="shared" si="0"/>
        <v>1299</v>
      </c>
    </row>
    <row r="47" spans="1:13" x14ac:dyDescent="0.35">
      <c r="A47">
        <v>1046</v>
      </c>
      <c r="B47" s="1">
        <v>45335</v>
      </c>
      <c r="C47" t="s">
        <v>117</v>
      </c>
      <c r="D47" t="s">
        <v>22</v>
      </c>
      <c r="E47" t="s">
        <v>23</v>
      </c>
      <c r="F47" t="s">
        <v>118</v>
      </c>
      <c r="G47" t="s">
        <v>16</v>
      </c>
      <c r="H47">
        <v>2499</v>
      </c>
      <c r="I47">
        <v>1</v>
      </c>
      <c r="J47" t="s">
        <v>20</v>
      </c>
      <c r="K47">
        <v>10</v>
      </c>
      <c r="L47">
        <v>550</v>
      </c>
      <c r="M47">
        <f t="shared" si="0"/>
        <v>2499</v>
      </c>
    </row>
    <row r="48" spans="1:13" x14ac:dyDescent="0.35">
      <c r="A48">
        <v>1047</v>
      </c>
      <c r="B48" s="1">
        <v>45336</v>
      </c>
      <c r="C48" t="s">
        <v>119</v>
      </c>
      <c r="D48" t="s">
        <v>27</v>
      </c>
      <c r="E48" t="s">
        <v>28</v>
      </c>
      <c r="F48" t="s">
        <v>120</v>
      </c>
      <c r="G48" t="s">
        <v>16</v>
      </c>
      <c r="H48">
        <v>399</v>
      </c>
      <c r="I48">
        <v>5</v>
      </c>
      <c r="J48" t="s">
        <v>25</v>
      </c>
      <c r="K48">
        <v>0</v>
      </c>
      <c r="L48">
        <v>350</v>
      </c>
      <c r="M48">
        <f t="shared" si="0"/>
        <v>1995</v>
      </c>
    </row>
    <row r="49" spans="1:13" x14ac:dyDescent="0.35">
      <c r="A49">
        <v>1048</v>
      </c>
      <c r="B49" s="1">
        <v>45337</v>
      </c>
      <c r="C49" t="s">
        <v>121</v>
      </c>
      <c r="D49" t="s">
        <v>31</v>
      </c>
      <c r="E49" t="s">
        <v>13</v>
      </c>
      <c r="F49" t="s">
        <v>122</v>
      </c>
      <c r="G49" t="s">
        <v>16</v>
      </c>
      <c r="H49">
        <v>24999</v>
      </c>
      <c r="I49">
        <v>1</v>
      </c>
      <c r="J49" t="s">
        <v>15</v>
      </c>
      <c r="K49">
        <v>10</v>
      </c>
      <c r="L49">
        <v>5000</v>
      </c>
      <c r="M49">
        <f t="shared" si="0"/>
        <v>24999</v>
      </c>
    </row>
    <row r="50" spans="1:13" x14ac:dyDescent="0.35">
      <c r="A50">
        <v>1049</v>
      </c>
      <c r="B50" s="1">
        <v>45338</v>
      </c>
      <c r="C50" t="s">
        <v>123</v>
      </c>
      <c r="D50" t="s">
        <v>35</v>
      </c>
      <c r="E50" t="s">
        <v>23</v>
      </c>
      <c r="F50" t="s">
        <v>124</v>
      </c>
      <c r="G50" t="s">
        <v>16</v>
      </c>
      <c r="H50">
        <v>499</v>
      </c>
      <c r="I50">
        <v>2</v>
      </c>
      <c r="J50" t="s">
        <v>20</v>
      </c>
      <c r="K50">
        <v>0</v>
      </c>
      <c r="L50">
        <v>150</v>
      </c>
      <c r="M50">
        <f t="shared" si="0"/>
        <v>998</v>
      </c>
    </row>
    <row r="51" spans="1:13" x14ac:dyDescent="0.35">
      <c r="A51">
        <v>1050</v>
      </c>
      <c r="B51" s="1">
        <v>45339</v>
      </c>
      <c r="C51" t="s">
        <v>125</v>
      </c>
      <c r="D51" t="s">
        <v>18</v>
      </c>
      <c r="E51" t="s">
        <v>28</v>
      </c>
      <c r="F51" t="s">
        <v>126</v>
      </c>
      <c r="G51" t="s">
        <v>16</v>
      </c>
      <c r="H51">
        <v>999</v>
      </c>
      <c r="I51">
        <v>1</v>
      </c>
      <c r="J51" t="s">
        <v>15</v>
      </c>
      <c r="K51">
        <v>5</v>
      </c>
      <c r="L51">
        <v>180</v>
      </c>
      <c r="M51">
        <f t="shared" si="0"/>
        <v>999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59"/>
  <sheetViews>
    <sheetView showGridLines="0" showRowColHeaders="0" zoomScaleNormal="100" workbookViewId="0">
      <selection activeCell="E26" sqref="E26"/>
    </sheetView>
  </sheetViews>
  <sheetFormatPr defaultRowHeight="14.5" x14ac:dyDescent="0.35"/>
  <cols>
    <col min="1" max="1" width="16.1796875" customWidth="1"/>
    <col min="2" max="2" width="16.08984375" bestFit="1" customWidth="1"/>
    <col min="5" max="5" width="12.36328125" customWidth="1"/>
    <col min="6" max="6" width="16.08984375" customWidth="1"/>
    <col min="8" max="8" width="13.81640625" customWidth="1"/>
    <col min="9" max="9" width="11.81640625" customWidth="1"/>
    <col min="12" max="12" width="16.08984375" bestFit="1" customWidth="1"/>
  </cols>
  <sheetData>
    <row r="3" spans="1:14" x14ac:dyDescent="0.35">
      <c r="A3" s="3" t="s">
        <v>129</v>
      </c>
      <c r="B3" t="s">
        <v>131</v>
      </c>
      <c r="E3" s="3" t="s">
        <v>129</v>
      </c>
      <c r="F3" t="s">
        <v>132</v>
      </c>
      <c r="H3" s="3" t="s">
        <v>129</v>
      </c>
      <c r="I3" t="s">
        <v>134</v>
      </c>
    </row>
    <row r="4" spans="1:14" x14ac:dyDescent="0.35">
      <c r="A4" s="4" t="s">
        <v>13</v>
      </c>
      <c r="B4" s="5">
        <v>17896</v>
      </c>
      <c r="E4" s="4" t="s">
        <v>13</v>
      </c>
      <c r="F4" s="5">
        <v>4.0555555555555554</v>
      </c>
      <c r="H4" s="4" t="s">
        <v>13</v>
      </c>
      <c r="I4" s="5">
        <v>14810</v>
      </c>
      <c r="L4" t="s">
        <v>131</v>
      </c>
      <c r="N4" t="s">
        <v>131</v>
      </c>
    </row>
    <row r="5" spans="1:14" x14ac:dyDescent="0.35">
      <c r="A5" s="4" t="s">
        <v>130</v>
      </c>
      <c r="B5" s="5">
        <v>17896</v>
      </c>
      <c r="E5" s="4" t="s">
        <v>23</v>
      </c>
      <c r="F5" s="5">
        <v>2.6875</v>
      </c>
      <c r="H5" s="4" t="s">
        <v>23</v>
      </c>
      <c r="I5" s="5">
        <v>4850</v>
      </c>
      <c r="L5" s="5">
        <v>122257</v>
      </c>
      <c r="N5">
        <f>GETPIVOTDATA("Total Sales",$L$4)</f>
        <v>122257</v>
      </c>
    </row>
    <row r="6" spans="1:14" x14ac:dyDescent="0.35">
      <c r="E6" s="4" t="s">
        <v>28</v>
      </c>
      <c r="F6" s="5">
        <v>2.1428571428571428</v>
      </c>
      <c r="H6" s="4" t="s">
        <v>28</v>
      </c>
      <c r="I6" s="5">
        <v>3960</v>
      </c>
    </row>
    <row r="7" spans="1:14" x14ac:dyDescent="0.35">
      <c r="E7" s="4" t="s">
        <v>130</v>
      </c>
      <c r="F7" s="5">
        <v>3.0416666666666665</v>
      </c>
      <c r="H7" s="4" t="s">
        <v>130</v>
      </c>
      <c r="I7" s="5">
        <v>23620</v>
      </c>
    </row>
    <row r="10" spans="1:14" x14ac:dyDescent="0.35">
      <c r="A10" s="3" t="s">
        <v>129</v>
      </c>
      <c r="B10" t="s">
        <v>131</v>
      </c>
      <c r="E10" s="3" t="s">
        <v>129</v>
      </c>
      <c r="F10" t="s">
        <v>133</v>
      </c>
      <c r="H10" s="3" t="s">
        <v>129</v>
      </c>
      <c r="I10" t="s">
        <v>131</v>
      </c>
    </row>
    <row r="11" spans="1:14" x14ac:dyDescent="0.35">
      <c r="A11" s="4" t="s">
        <v>48</v>
      </c>
      <c r="B11" s="5">
        <v>1798</v>
      </c>
      <c r="E11" s="4" t="s">
        <v>16</v>
      </c>
      <c r="F11" s="5">
        <v>48</v>
      </c>
      <c r="H11" s="4" t="s">
        <v>25</v>
      </c>
      <c r="I11" s="5">
        <v>45273</v>
      </c>
    </row>
    <row r="12" spans="1:14" x14ac:dyDescent="0.35">
      <c r="A12" s="4" t="s">
        <v>54</v>
      </c>
      <c r="B12" s="5">
        <v>2499</v>
      </c>
      <c r="E12" s="4" t="s">
        <v>130</v>
      </c>
      <c r="F12" s="5">
        <v>48</v>
      </c>
      <c r="H12" s="4" t="s">
        <v>20</v>
      </c>
      <c r="I12" s="5">
        <v>26170</v>
      </c>
    </row>
    <row r="13" spans="1:14" x14ac:dyDescent="0.35">
      <c r="A13" s="4" t="s">
        <v>122</v>
      </c>
      <c r="B13" s="5">
        <v>24999</v>
      </c>
      <c r="H13" s="4" t="s">
        <v>15</v>
      </c>
      <c r="I13" s="5">
        <v>50814</v>
      </c>
    </row>
    <row r="14" spans="1:14" x14ac:dyDescent="0.35">
      <c r="A14" s="4" t="s">
        <v>66</v>
      </c>
      <c r="B14" s="5">
        <v>1996</v>
      </c>
      <c r="H14" s="4" t="s">
        <v>130</v>
      </c>
      <c r="I14" s="5">
        <v>122257</v>
      </c>
    </row>
    <row r="15" spans="1:14" x14ac:dyDescent="0.35">
      <c r="A15" s="4" t="s">
        <v>78</v>
      </c>
      <c r="B15" s="5">
        <v>1497</v>
      </c>
    </row>
    <row r="16" spans="1:14" x14ac:dyDescent="0.35">
      <c r="A16" s="4" t="s">
        <v>72</v>
      </c>
      <c r="B16" s="5">
        <v>1998</v>
      </c>
    </row>
    <row r="17" spans="1:9" x14ac:dyDescent="0.35">
      <c r="A17" s="4" t="s">
        <v>82</v>
      </c>
      <c r="B17" s="5">
        <v>1596</v>
      </c>
      <c r="E17" s="3" t="s">
        <v>129</v>
      </c>
      <c r="F17" t="s">
        <v>131</v>
      </c>
      <c r="H17" s="3" t="s">
        <v>129</v>
      </c>
      <c r="I17" t="s">
        <v>134</v>
      </c>
    </row>
    <row r="18" spans="1:9" x14ac:dyDescent="0.35">
      <c r="A18" s="4" t="s">
        <v>90</v>
      </c>
      <c r="B18" s="5">
        <v>897</v>
      </c>
      <c r="E18" s="4" t="s">
        <v>18</v>
      </c>
      <c r="F18" s="5">
        <v>17889</v>
      </c>
      <c r="H18" s="4" t="s">
        <v>13</v>
      </c>
      <c r="I18" s="5">
        <v>14810</v>
      </c>
    </row>
    <row r="19" spans="1:9" x14ac:dyDescent="0.35">
      <c r="A19" s="4" t="s">
        <v>68</v>
      </c>
      <c r="B19" s="5">
        <v>1398</v>
      </c>
      <c r="E19" s="4" t="s">
        <v>38</v>
      </c>
      <c r="F19" s="5">
        <v>5937</v>
      </c>
      <c r="H19" s="6" t="s">
        <v>18</v>
      </c>
      <c r="I19" s="5">
        <v>1880</v>
      </c>
    </row>
    <row r="20" spans="1:9" x14ac:dyDescent="0.35">
      <c r="A20" s="4" t="s">
        <v>80</v>
      </c>
      <c r="B20" s="5">
        <v>598</v>
      </c>
      <c r="E20" s="4" t="s">
        <v>22</v>
      </c>
      <c r="F20" s="5">
        <v>20487</v>
      </c>
      <c r="H20" s="6" t="s">
        <v>22</v>
      </c>
      <c r="I20" s="5">
        <v>2100</v>
      </c>
    </row>
    <row r="21" spans="1:9" x14ac:dyDescent="0.35">
      <c r="A21" s="4" t="s">
        <v>56</v>
      </c>
      <c r="B21" s="5">
        <v>1198</v>
      </c>
      <c r="E21" s="4" t="s">
        <v>12</v>
      </c>
      <c r="F21" s="5">
        <v>24288</v>
      </c>
      <c r="H21" s="6" t="s">
        <v>12</v>
      </c>
      <c r="I21" s="5">
        <v>3400</v>
      </c>
    </row>
    <row r="22" spans="1:9" x14ac:dyDescent="0.35">
      <c r="A22" s="4" t="s">
        <v>118</v>
      </c>
      <c r="B22" s="5">
        <v>2499</v>
      </c>
      <c r="E22" s="4" t="s">
        <v>35</v>
      </c>
      <c r="F22" s="5">
        <v>8585</v>
      </c>
      <c r="H22" s="6" t="s">
        <v>35</v>
      </c>
      <c r="I22" s="5">
        <v>1430</v>
      </c>
    </row>
    <row r="23" spans="1:9" x14ac:dyDescent="0.35">
      <c r="A23" s="4" t="s">
        <v>43</v>
      </c>
      <c r="B23" s="5">
        <v>1999</v>
      </c>
      <c r="E23" s="4" t="s">
        <v>27</v>
      </c>
      <c r="F23" s="5">
        <v>11586</v>
      </c>
      <c r="H23" s="6" t="s">
        <v>27</v>
      </c>
      <c r="I23" s="5">
        <v>300</v>
      </c>
    </row>
    <row r="24" spans="1:9" x14ac:dyDescent="0.35">
      <c r="A24" s="4" t="s">
        <v>110</v>
      </c>
      <c r="B24" s="5">
        <v>1999</v>
      </c>
      <c r="E24" s="4" t="s">
        <v>31</v>
      </c>
      <c r="F24" s="5">
        <v>33485</v>
      </c>
      <c r="H24" s="6" t="s">
        <v>31</v>
      </c>
      <c r="I24" s="5">
        <v>5700</v>
      </c>
    </row>
    <row r="25" spans="1:9" x14ac:dyDescent="0.35">
      <c r="A25" s="4" t="s">
        <v>74</v>
      </c>
      <c r="B25" s="5">
        <v>2899</v>
      </c>
      <c r="E25" s="4" t="s">
        <v>130</v>
      </c>
      <c r="F25" s="5">
        <v>122257</v>
      </c>
      <c r="H25" s="4" t="s">
        <v>23</v>
      </c>
      <c r="I25" s="5">
        <v>4850</v>
      </c>
    </row>
    <row r="26" spans="1:9" x14ac:dyDescent="0.35">
      <c r="A26" s="4" t="s">
        <v>64</v>
      </c>
      <c r="B26" s="5">
        <v>1299</v>
      </c>
      <c r="H26" s="6" t="s">
        <v>18</v>
      </c>
      <c r="I26" s="5">
        <v>1050</v>
      </c>
    </row>
    <row r="27" spans="1:9" x14ac:dyDescent="0.35">
      <c r="A27" s="4" t="s">
        <v>19</v>
      </c>
      <c r="B27" s="5">
        <v>1299</v>
      </c>
      <c r="H27" s="6" t="s">
        <v>38</v>
      </c>
      <c r="I27" s="5">
        <v>550</v>
      </c>
    </row>
    <row r="28" spans="1:9" x14ac:dyDescent="0.35">
      <c r="A28" s="4" t="s">
        <v>52</v>
      </c>
      <c r="B28" s="5">
        <v>799</v>
      </c>
      <c r="H28" s="6" t="s">
        <v>22</v>
      </c>
      <c r="I28" s="5">
        <v>2010</v>
      </c>
    </row>
    <row r="29" spans="1:9" x14ac:dyDescent="0.35">
      <c r="A29" s="4" t="s">
        <v>116</v>
      </c>
      <c r="B29" s="5">
        <v>1299</v>
      </c>
      <c r="H29" s="6" t="s">
        <v>12</v>
      </c>
      <c r="I29" s="5">
        <v>350</v>
      </c>
    </row>
    <row r="30" spans="1:9" x14ac:dyDescent="0.35">
      <c r="A30" s="4" t="s">
        <v>92</v>
      </c>
      <c r="B30" s="5">
        <v>894</v>
      </c>
      <c r="H30" s="6" t="s">
        <v>35</v>
      </c>
      <c r="I30" s="5">
        <v>240</v>
      </c>
    </row>
    <row r="31" spans="1:9" x14ac:dyDescent="0.35">
      <c r="A31" s="4" t="s">
        <v>120</v>
      </c>
      <c r="B31" s="5">
        <v>1995</v>
      </c>
      <c r="H31" s="6" t="s">
        <v>27</v>
      </c>
      <c r="I31" s="5">
        <v>430</v>
      </c>
    </row>
    <row r="32" spans="1:9" x14ac:dyDescent="0.35">
      <c r="A32" s="4" t="s">
        <v>124</v>
      </c>
      <c r="B32" s="5">
        <v>998</v>
      </c>
      <c r="H32" s="6" t="s">
        <v>31</v>
      </c>
      <c r="I32" s="5">
        <v>220</v>
      </c>
    </row>
    <row r="33" spans="1:9" x14ac:dyDescent="0.35">
      <c r="A33" s="4" t="s">
        <v>39</v>
      </c>
      <c r="B33" s="5">
        <v>1797</v>
      </c>
      <c r="H33" s="4" t="s">
        <v>28</v>
      </c>
      <c r="I33" s="5">
        <v>3960</v>
      </c>
    </row>
    <row r="34" spans="1:9" x14ac:dyDescent="0.35">
      <c r="A34" s="4" t="s">
        <v>126</v>
      </c>
      <c r="B34" s="5">
        <v>999</v>
      </c>
      <c r="H34" s="6" t="s">
        <v>18</v>
      </c>
      <c r="I34" s="5">
        <v>620</v>
      </c>
    </row>
    <row r="35" spans="1:9" x14ac:dyDescent="0.35">
      <c r="A35" s="4" t="s">
        <v>84</v>
      </c>
      <c r="B35" s="5">
        <v>7999</v>
      </c>
      <c r="H35" s="6" t="s">
        <v>38</v>
      </c>
      <c r="I35" s="5">
        <v>410</v>
      </c>
    </row>
    <row r="36" spans="1:9" x14ac:dyDescent="0.35">
      <c r="A36" s="4" t="s">
        <v>60</v>
      </c>
      <c r="B36" s="5">
        <v>897</v>
      </c>
      <c r="H36" s="6" t="s">
        <v>12</v>
      </c>
      <c r="I36" s="5">
        <v>860</v>
      </c>
    </row>
    <row r="37" spans="1:9" x14ac:dyDescent="0.35">
      <c r="A37" s="4" t="s">
        <v>114</v>
      </c>
      <c r="B37" s="5">
        <v>1497</v>
      </c>
      <c r="H37" s="6" t="s">
        <v>27</v>
      </c>
      <c r="I37" s="5">
        <v>1570</v>
      </c>
    </row>
    <row r="38" spans="1:9" x14ac:dyDescent="0.35">
      <c r="A38" s="4" t="s">
        <v>108</v>
      </c>
      <c r="B38" s="5">
        <v>1398</v>
      </c>
      <c r="H38" s="6" t="s">
        <v>31</v>
      </c>
      <c r="I38" s="5">
        <v>500</v>
      </c>
    </row>
    <row r="39" spans="1:9" x14ac:dyDescent="0.35">
      <c r="A39" s="4" t="s">
        <v>36</v>
      </c>
      <c r="B39" s="5">
        <v>2198</v>
      </c>
      <c r="H39" s="4" t="s">
        <v>130</v>
      </c>
      <c r="I39" s="5">
        <v>23620</v>
      </c>
    </row>
    <row r="40" spans="1:9" x14ac:dyDescent="0.35">
      <c r="A40" s="4" t="s">
        <v>98</v>
      </c>
      <c r="B40" s="5">
        <v>5999</v>
      </c>
    </row>
    <row r="41" spans="1:9" x14ac:dyDescent="0.35">
      <c r="A41" s="4" t="s">
        <v>86</v>
      </c>
      <c r="B41" s="5">
        <v>1999</v>
      </c>
    </row>
    <row r="42" spans="1:9" x14ac:dyDescent="0.35">
      <c r="A42" s="4" t="s">
        <v>88</v>
      </c>
      <c r="B42" s="5">
        <v>999</v>
      </c>
    </row>
    <row r="43" spans="1:9" x14ac:dyDescent="0.35">
      <c r="A43" s="4" t="s">
        <v>58</v>
      </c>
      <c r="B43" s="5">
        <v>1499</v>
      </c>
    </row>
    <row r="44" spans="1:9" x14ac:dyDescent="0.35">
      <c r="A44" s="4" t="s">
        <v>112</v>
      </c>
      <c r="B44" s="5">
        <v>598</v>
      </c>
    </row>
    <row r="45" spans="1:9" x14ac:dyDescent="0.35">
      <c r="A45" s="4" t="s">
        <v>94</v>
      </c>
      <c r="B45" s="5">
        <v>899</v>
      </c>
    </row>
    <row r="46" spans="1:9" x14ac:dyDescent="0.35">
      <c r="A46" s="4" t="s">
        <v>100</v>
      </c>
      <c r="B46" s="5">
        <v>1398</v>
      </c>
    </row>
    <row r="47" spans="1:9" x14ac:dyDescent="0.35">
      <c r="A47" s="4" t="s">
        <v>96</v>
      </c>
      <c r="B47" s="5">
        <v>1299</v>
      </c>
    </row>
    <row r="48" spans="1:9" x14ac:dyDescent="0.35">
      <c r="A48" s="4" t="s">
        <v>24</v>
      </c>
      <c r="B48" s="5">
        <v>2499</v>
      </c>
    </row>
    <row r="49" spans="1:2" x14ac:dyDescent="0.35">
      <c r="A49" s="4" t="s">
        <v>29</v>
      </c>
      <c r="B49" s="5">
        <v>2997</v>
      </c>
    </row>
    <row r="50" spans="1:2" x14ac:dyDescent="0.35">
      <c r="A50" s="4" t="s">
        <v>102</v>
      </c>
      <c r="B50" s="5">
        <v>747</v>
      </c>
    </row>
    <row r="51" spans="1:2" x14ac:dyDescent="0.35">
      <c r="A51" s="4" t="s">
        <v>104</v>
      </c>
      <c r="B51" s="5">
        <v>14999</v>
      </c>
    </row>
    <row r="52" spans="1:2" x14ac:dyDescent="0.35">
      <c r="A52" s="4" t="s">
        <v>70</v>
      </c>
      <c r="B52" s="5">
        <v>1497</v>
      </c>
    </row>
    <row r="53" spans="1:2" x14ac:dyDescent="0.35">
      <c r="A53" s="4" t="s">
        <v>76</v>
      </c>
      <c r="B53" s="5">
        <v>1599</v>
      </c>
    </row>
    <row r="54" spans="1:2" x14ac:dyDescent="0.35">
      <c r="A54" s="4" t="s">
        <v>50</v>
      </c>
      <c r="B54" s="5">
        <v>1196</v>
      </c>
    </row>
    <row r="55" spans="1:2" x14ac:dyDescent="0.35">
      <c r="A55" s="4" t="s">
        <v>41</v>
      </c>
      <c r="B55" s="5">
        <v>1299</v>
      </c>
    </row>
    <row r="56" spans="1:2" x14ac:dyDescent="0.35">
      <c r="A56" s="4" t="s">
        <v>106</v>
      </c>
      <c r="B56" s="5">
        <v>1999</v>
      </c>
    </row>
    <row r="57" spans="1:2" x14ac:dyDescent="0.35">
      <c r="A57" s="4" t="s">
        <v>62</v>
      </c>
      <c r="B57" s="5">
        <v>1899</v>
      </c>
    </row>
    <row r="58" spans="1:2" x14ac:dyDescent="0.35">
      <c r="A58" s="4" t="s">
        <v>14</v>
      </c>
      <c r="B58" s="5">
        <v>1598</v>
      </c>
    </row>
    <row r="59" spans="1:2" x14ac:dyDescent="0.35">
      <c r="A59" s="4" t="s">
        <v>130</v>
      </c>
      <c r="B59" s="5">
        <v>122257</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
  <sheetViews>
    <sheetView showGridLines="0" showRowColHeaders="0" tabSelected="1" topLeftCell="A4" workbookViewId="0">
      <selection activeCell="C2" sqref="C2"/>
    </sheetView>
  </sheetViews>
  <sheetFormatPr defaultRowHeight="14.5" x14ac:dyDescent="0.35"/>
  <cols>
    <col min="1" max="16384" width="8.7265625" style="7"/>
  </cols>
  <sheetData>
    <row r="1" spans="1:20" x14ac:dyDescent="0.35">
      <c r="A1" s="8"/>
      <c r="B1" s="15" t="s">
        <v>128</v>
      </c>
      <c r="C1" s="9"/>
      <c r="D1" s="9"/>
      <c r="E1" s="9"/>
      <c r="F1" s="9"/>
      <c r="G1" s="9"/>
      <c r="H1" s="9"/>
      <c r="I1" s="9"/>
      <c r="J1" s="9"/>
      <c r="K1" s="9"/>
      <c r="L1" s="9"/>
      <c r="M1" s="9"/>
      <c r="N1" s="9"/>
      <c r="O1" s="9"/>
      <c r="P1" s="9"/>
      <c r="Q1" s="9"/>
      <c r="R1" s="9"/>
      <c r="S1" s="9"/>
      <c r="T1" s="10"/>
    </row>
    <row r="2" spans="1:20" ht="36" x14ac:dyDescent="0.8">
      <c r="A2" s="11"/>
      <c r="B2" s="16">
        <f>'Pivot Table'!N5</f>
        <v>122257</v>
      </c>
      <c r="C2" s="12"/>
      <c r="D2" s="12"/>
      <c r="E2" s="12"/>
      <c r="F2" s="12"/>
      <c r="G2" s="12"/>
      <c r="H2" s="13" t="s">
        <v>135</v>
      </c>
      <c r="I2" s="12"/>
      <c r="J2" s="12"/>
      <c r="K2" s="12"/>
      <c r="L2" s="12"/>
      <c r="M2" s="12"/>
      <c r="N2" s="12"/>
      <c r="O2" s="12"/>
      <c r="P2" s="12"/>
      <c r="Q2" s="12"/>
      <c r="R2" s="12"/>
      <c r="S2" s="12"/>
      <c r="T2" s="1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Ecommerence Data</vt:lpstr>
      <vt:lpstr>Pivot Table</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3420</dc:creator>
  <cp:lastModifiedBy>DELL 3420</cp:lastModifiedBy>
  <dcterms:created xsi:type="dcterms:W3CDTF">2025-11-25T10:54:33Z</dcterms:created>
  <dcterms:modified xsi:type="dcterms:W3CDTF">2025-11-26T04:33:34Z</dcterms:modified>
</cp:coreProperties>
</file>